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Record Count Validation" sheetId="2" state="visible" r:id="rId4"/>
    <sheet name="3. Comparison Dataset" sheetId="3" state="visible" r:id="rId5"/>
    <sheet name="4. Field-by-Field" sheetId="4" state="visible" r:id="rId6"/>
    <sheet name="5. Segment-Level" sheetId="5" state="visible" r:id="rId7"/>
    <sheet name="6. Mismatch Summary" sheetId="6" state="visible" r:id="rId8"/>
    <sheet name="7. Control Total Validation" sheetId="7" state="visible" r:id="rId9"/>
  </sheets>
  <definedNames>
    <definedName function="false" hidden="true" localSheetId="2" name="_xlnm._FilterDatabase" vbProcedure="false">'3. Comparison Dataset'!$A$3:$J$191</definedName>
    <definedName function="false" hidden="true" localSheetId="4" name="_xlnm._FilterDatabase" vbProcedure="false">'5. Segment-Level'!$A$5:$G$42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<sst xmlns="http://schemas.openxmlformats.org/spreadsheetml/2006/main" count="2445" uniqueCount="470">
  <si>
    <t xml:space="preserve">POS DATA (EDI 852) — GOLDEN vs GENERATED OUTPUT VALIDATION REPORT</t>
  </si>
  <si>
    <t xml:space="preserve">Report Type</t>
  </si>
  <si>
    <t xml:space="preserve">Field-by-field output validation for project sign-off</t>
  </si>
  <si>
    <t xml:space="preserve">Prepared</t>
  </si>
  <si>
    <t xml:space="preserve">Automated comparison — no sampling; 100% of Generated records verified</t>
  </si>
  <si>
    <t xml:space="preserve">FILE SUMMARY</t>
  </si>
  <si>
    <t xml:space="preserve">Input file</t>
  </si>
  <si>
    <t xml:space="preserve">MEIJER0001.txt — fixed-width EDI 852 Product Activity Data, 43 records, 512-char fixed line length</t>
  </si>
  <si>
    <t xml:space="preserve">Golden output</t>
  </si>
  <si>
    <t xml:space="preserve">POSDATAMJ_ProcDate_07282026_ActDate_07272026.xlsx (sheet: Sheet1) — 85,510 POSDATA records</t>
  </si>
  <si>
    <t xml:space="preserve">Generated output</t>
  </si>
  <si>
    <t xml:space="preserve">POSDATAMJ-actual.xlsx (sheet: POSMJ) — 43 POSDATA records, FileId 90 / RunId 90 / Seq 1-43</t>
  </si>
  <si>
    <t xml:space="preserve">Processing date</t>
  </si>
  <si>
    <t xml:space="preserve">07/28/2026  (header field 2607280523 = 26-07-28 05:23)</t>
  </si>
  <si>
    <t xml:space="preserve">Activity date</t>
  </si>
  <si>
    <t xml:space="preserve">07/27/2026  (ZA/QS date qualifier 007 = 260727; one group at 260728)</t>
  </si>
  <si>
    <t xml:space="preserve">Trading partner</t>
  </si>
  <si>
    <t xml:space="preserve">Sender 006959555 / Receiver 074240599 / Version 004050 VICS</t>
  </si>
  <si>
    <t xml:space="preserve">Scope note</t>
  </si>
  <si>
    <t xml:space="preserve">Golden is a superset. Validation asserts: every Generated record exists in Golden and matches field-for-field.</t>
  </si>
  <si>
    <t xml:space="preserve">HEADLINE RESULTS</t>
  </si>
  <si>
    <t xml:space="preserve">Metric</t>
  </si>
  <si>
    <t xml:space="preserve">Golden</t>
  </si>
  <si>
    <t xml:space="preserve">Generated</t>
  </si>
  <si>
    <t xml:space="preserve">Result</t>
  </si>
  <si>
    <t xml:space="preserve">Transaction sets in scope</t>
  </si>
  <si>
    <t xml:space="preserve">2 (Golden sets 2 &amp; 4)</t>
  </si>
  <si>
    <t xml:space="preserve">2 (sets 1 &amp; 2)</t>
  </si>
  <si>
    <t xml:space="preserve">MATCH</t>
  </si>
  <si>
    <t xml:space="preserve">LINs compared</t>
  </si>
  <si>
    <t xml:space="preserve">4</t>
  </si>
  <si>
    <t xml:space="preserve">Store/quantity detail records</t>
  </si>
  <si>
    <t xml:space="preserve">188</t>
  </si>
  <si>
    <t xml:space="preserve">Distinct stores</t>
  </si>
  <si>
    <t xml:space="preserve">149</t>
  </si>
  <si>
    <t xml:space="preserve">Segment lines compared (LIN/ZA/SDQ)</t>
  </si>
  <si>
    <t xml:space="preserve">37</t>
  </si>
  <si>
    <t xml:space="preserve">Field-level comparisons executed</t>
  </si>
  <si>
    <t xml:space="preserve">940</t>
  </si>
  <si>
    <t xml:space="preserve">Total quantity (in-scope LINs)</t>
  </si>
  <si>
    <t xml:space="preserve">Missing records (in Golden, absent in Generated)</t>
  </si>
  <si>
    <t xml:space="preserve">—</t>
  </si>
  <si>
    <t xml:space="preserve">0</t>
  </si>
  <si>
    <t xml:space="preserve">PASS</t>
  </si>
  <si>
    <t xml:space="preserve">Extra records (in Generated, absent in Golden)</t>
  </si>
  <si>
    <t xml:space="preserve">Quantity differences</t>
  </si>
  <si>
    <t xml:space="preserve">Price / ZA amount differences</t>
  </si>
  <si>
    <t xml:space="preserve">Date differences</t>
  </si>
  <si>
    <t xml:space="preserve">Store differences</t>
  </si>
  <si>
    <t xml:space="preserve">ISBN / UPC differences</t>
  </si>
  <si>
    <t xml:space="preserve">Control total (CTT) differences</t>
  </si>
  <si>
    <t xml:space="preserve">0 (variance explained)</t>
  </si>
  <si>
    <t xml:space="preserve">CONCLUSION:  PASS — the Generated output is a byte-exact subset of the Golden output for all 4 LINs, 188 detail records and 940 compared fields. Zero defects. Recommended for sign-off.</t>
  </si>
  <si>
    <t xml:space="preserve">Sign-off</t>
  </si>
  <si>
    <t xml:space="preserve">Prepared by</t>
  </si>
  <si>
    <t xml:space="preserve">Reviewed by</t>
  </si>
  <si>
    <t xml:space="preserve">Approved by</t>
  </si>
  <si>
    <t xml:space="preserve">RECORD COUNT VALIDATION</t>
  </si>
  <si>
    <t xml:space="preserve">A. Input → Generated reconciliation (source fidelity)</t>
  </si>
  <si>
    <t xml:space="preserve">Check</t>
  </si>
  <si>
    <t xml:space="preserve">Input (MEIJER0001.txt)</t>
  </si>
  <si>
    <t xml:space="preserve">Generated (POSDATAMJ-actual)</t>
  </si>
  <si>
    <t xml:space="preserve">Difference</t>
  </si>
  <si>
    <t xml:space="preserve">Status</t>
  </si>
  <si>
    <t xml:space="preserve">Comments</t>
  </si>
  <si>
    <t xml:space="preserve">Total records</t>
  </si>
  <si>
    <t xml:space="preserve">Every input line produced exactly one output record</t>
  </si>
  <si>
    <t xml:space="preserve">Byte-exact lines</t>
  </si>
  <si>
    <t xml:space="preserve">All 43 rows identical incl. 512-char padding</t>
  </si>
  <si>
    <t xml:space="preserve">Transaction sets (852000)</t>
  </si>
  <si>
    <t xml:space="preserve">XQ segments</t>
  </si>
  <si>
    <t xml:space="preserve">LIN segments</t>
  </si>
  <si>
    <t xml:space="preserve">ZA segments</t>
  </si>
  <si>
    <t xml:space="preserve">SDQ segments</t>
  </si>
  <si>
    <t xml:space="preserve">CTT segments</t>
  </si>
  <si>
    <t xml:space="preserve">B. Generated → Golden reconciliation (in-scope LINs only)</t>
  </si>
  <si>
    <t xml:space="preserve">Golden (in-scope)</t>
  </si>
  <si>
    <t xml:space="preserve">LINs matched</t>
  </si>
  <si>
    <t xml:space="preserve">All 4 Generated LINs located in Golden</t>
  </si>
  <si>
    <t xml:space="preserve">SDQ detail records</t>
  </si>
  <si>
    <t xml:space="preserve">Keyed on LIN+ZA qualifier+ZA date+Store</t>
  </si>
  <si>
    <t xml:space="preserve">Store codes preserved with leading zeros (e.g. 020, 027)</t>
  </si>
  <si>
    <t xml:space="preserve">ZA groups</t>
  </si>
  <si>
    <t xml:space="preserve">QA=4, QS=4</t>
  </si>
  <si>
    <t xml:space="preserve">Negative-quantity records</t>
  </si>
  <si>
    <t xml:space="preserve">Sign and 10-char format preserved</t>
  </si>
  <si>
    <t xml:space="preserve">Duplicate keys</t>
  </si>
  <si>
    <t xml:space="preserve">No duplicate LIN/ZA/Store keys in either file</t>
  </si>
  <si>
    <t xml:space="preserve">C. Golden file inventory (full file — for context)</t>
  </si>
  <si>
    <t xml:space="preserve">Item</t>
  </si>
  <si>
    <t xml:space="preserve">Count</t>
  </si>
  <si>
    <t xml:space="preserve">POSDATA records</t>
  </si>
  <si>
    <t xml:space="preserve">Transaction sets</t>
  </si>
  <si>
    <t xml:space="preserve">N9 segments</t>
  </si>
  <si>
    <t xml:space="preserve">Total quantity (whole file)</t>
  </si>
  <si>
    <t xml:space="preserve">Golden sets 1, 3 and 5 (1 EN + 7 UP + 23 UP LINs) are out of scope — no Generated counterpart, as expected for a subset test.</t>
  </si>
  <si>
    <t xml:space="preserve">COMPARISON DATASET — one row per store-level activity record (188 records)</t>
  </si>
  <si>
    <t xml:space="preserve">LIN</t>
  </si>
  <si>
    <t xml:space="preserve">UPC / ISBN</t>
  </si>
  <si>
    <t xml:space="preserve">Qualifier</t>
  </si>
  <si>
    <t xml:space="preserve">Activity Type</t>
  </si>
  <si>
    <t xml:space="preserve">Activity Date</t>
  </si>
  <si>
    <t xml:space="preserve">Store</t>
  </si>
  <si>
    <t xml:space="preserve">Golden Value (Qty)</t>
  </si>
  <si>
    <t xml:space="preserve">Generated Value (Qty)</t>
  </si>
  <si>
    <t xml:space="preserve">Match / Mismatch</t>
  </si>
  <si>
    <t xml:space="preserve">689860520851</t>
  </si>
  <si>
    <t xml:space="preserve">UP</t>
  </si>
  <si>
    <t xml:space="preserve">Quantity Available (QA)</t>
  </si>
  <si>
    <t xml:space="preserve">n/a</t>
  </si>
  <si>
    <t xml:space="preserve">020</t>
  </si>
  <si>
    <t xml:space="preserve">0000000001</t>
  </si>
  <si>
    <t xml:space="preserve">Exact match — value, sign and leading zeros preserved</t>
  </si>
  <si>
    <t xml:space="preserve">027</t>
  </si>
  <si>
    <t xml:space="preserve">0000000047</t>
  </si>
  <si>
    <t xml:space="preserve">034</t>
  </si>
  <si>
    <t xml:space="preserve">0000000058</t>
  </si>
  <si>
    <t xml:space="preserve">036</t>
  </si>
  <si>
    <t xml:space="preserve">0000000028</t>
  </si>
  <si>
    <t xml:space="preserve">041</t>
  </si>
  <si>
    <t xml:space="preserve">0000000002</t>
  </si>
  <si>
    <t xml:space="preserve">042</t>
  </si>
  <si>
    <t xml:space="preserve">050</t>
  </si>
  <si>
    <t xml:space="preserve">0000000043</t>
  </si>
  <si>
    <t xml:space="preserve">054</t>
  </si>
  <si>
    <t xml:space="preserve">058</t>
  </si>
  <si>
    <t xml:space="preserve">0000000037</t>
  </si>
  <si>
    <t xml:space="preserve">064</t>
  </si>
  <si>
    <t xml:space="preserve">0000000005</t>
  </si>
  <si>
    <t xml:space="preserve">065</t>
  </si>
  <si>
    <t xml:space="preserve">0000000018</t>
  </si>
  <si>
    <t xml:space="preserve">066</t>
  </si>
  <si>
    <t xml:space="preserve">0000000011</t>
  </si>
  <si>
    <t xml:space="preserve">071</t>
  </si>
  <si>
    <t xml:space="preserve">0000000031</t>
  </si>
  <si>
    <t xml:space="preserve">109</t>
  </si>
  <si>
    <t xml:space="preserve">0000000004</t>
  </si>
  <si>
    <t xml:space="preserve">114</t>
  </si>
  <si>
    <t xml:space="preserve">116</t>
  </si>
  <si>
    <t xml:space="preserve">0000000021</t>
  </si>
  <si>
    <t xml:space="preserve">130</t>
  </si>
  <si>
    <t xml:space="preserve">0000000014</t>
  </si>
  <si>
    <t xml:space="preserve">133</t>
  </si>
  <si>
    <t xml:space="preserve">134</t>
  </si>
  <si>
    <t xml:space="preserve">137</t>
  </si>
  <si>
    <t xml:space="preserve">0000000015</t>
  </si>
  <si>
    <t xml:space="preserve">155</t>
  </si>
  <si>
    <t xml:space="preserve">157</t>
  </si>
  <si>
    <t xml:space="preserve">158</t>
  </si>
  <si>
    <t xml:space="preserve">-000000001</t>
  </si>
  <si>
    <t xml:space="preserve">159</t>
  </si>
  <si>
    <t xml:space="preserve">-000000002</t>
  </si>
  <si>
    <t xml:space="preserve">164</t>
  </si>
  <si>
    <t xml:space="preserve">-000000010</t>
  </si>
  <si>
    <t xml:space="preserve">166</t>
  </si>
  <si>
    <t xml:space="preserve">0000000044</t>
  </si>
  <si>
    <t xml:space="preserve">169</t>
  </si>
  <si>
    <t xml:space="preserve">170</t>
  </si>
  <si>
    <t xml:space="preserve">0000000116</t>
  </si>
  <si>
    <t xml:space="preserve">177</t>
  </si>
  <si>
    <t xml:space="preserve">0000000042</t>
  </si>
  <si>
    <t xml:space="preserve">178</t>
  </si>
  <si>
    <t xml:space="preserve">-000000016</t>
  </si>
  <si>
    <t xml:space="preserve">187</t>
  </si>
  <si>
    <t xml:space="preserve">0000000003</t>
  </si>
  <si>
    <t xml:space="preserve">195</t>
  </si>
  <si>
    <t xml:space="preserve">-000000005</t>
  </si>
  <si>
    <t xml:space="preserve">197</t>
  </si>
  <si>
    <t xml:space="preserve">201</t>
  </si>
  <si>
    <t xml:space="preserve">203</t>
  </si>
  <si>
    <t xml:space="preserve">0000000033</t>
  </si>
  <si>
    <t xml:space="preserve">206</t>
  </si>
  <si>
    <t xml:space="preserve">0000000012</t>
  </si>
  <si>
    <t xml:space="preserve">211</t>
  </si>
  <si>
    <t xml:space="preserve">0000000053</t>
  </si>
  <si>
    <t xml:space="preserve">214</t>
  </si>
  <si>
    <t xml:space="preserve">215</t>
  </si>
  <si>
    <t xml:space="preserve">217</t>
  </si>
  <si>
    <t xml:space="preserve">-000000006</t>
  </si>
  <si>
    <t xml:space="preserve">218</t>
  </si>
  <si>
    <t xml:space="preserve">0000000016</t>
  </si>
  <si>
    <t xml:space="preserve">230</t>
  </si>
  <si>
    <t xml:space="preserve">0000000026</t>
  </si>
  <si>
    <t xml:space="preserve">231</t>
  </si>
  <si>
    <t xml:space="preserve">232</t>
  </si>
  <si>
    <t xml:space="preserve">-000000021</t>
  </si>
  <si>
    <t xml:space="preserve">237</t>
  </si>
  <si>
    <t xml:space="preserve">0000000007</t>
  </si>
  <si>
    <t xml:space="preserve">242</t>
  </si>
  <si>
    <t xml:space="preserve">-000000007</t>
  </si>
  <si>
    <t xml:space="preserve">243</t>
  </si>
  <si>
    <t xml:space="preserve">0000000006</t>
  </si>
  <si>
    <t xml:space="preserve">270</t>
  </si>
  <si>
    <t xml:space="preserve">293</t>
  </si>
  <si>
    <t xml:space="preserve">299</t>
  </si>
  <si>
    <t xml:space="preserve">0000000054</t>
  </si>
  <si>
    <t xml:space="preserve">302</t>
  </si>
  <si>
    <t xml:space="preserve">306</t>
  </si>
  <si>
    <t xml:space="preserve">Quantity Sold (QS)</t>
  </si>
  <si>
    <t xml:space="preserve">260727</t>
  </si>
  <si>
    <t xml:space="preserve">105</t>
  </si>
  <si>
    <t xml:space="preserve">204</t>
  </si>
  <si>
    <t xml:space="preserve">227</t>
  </si>
  <si>
    <t xml:space="preserve">9780008392741</t>
  </si>
  <si>
    <t xml:space="preserve">EN</t>
  </si>
  <si>
    <t xml:space="preserve">9780063215184</t>
  </si>
  <si>
    <t xml:space="preserve">9780525559498</t>
  </si>
  <si>
    <t xml:space="preserve">032</t>
  </si>
  <si>
    <t xml:space="preserve">035</t>
  </si>
  <si>
    <t xml:space="preserve">043</t>
  </si>
  <si>
    <t xml:space="preserve">048</t>
  </si>
  <si>
    <t xml:space="preserve">052</t>
  </si>
  <si>
    <t xml:space="preserve">053</t>
  </si>
  <si>
    <t xml:space="preserve">055</t>
  </si>
  <si>
    <t xml:space="preserve">057</t>
  </si>
  <si>
    <t xml:space="preserve">061</t>
  </si>
  <si>
    <t xml:space="preserve">063</t>
  </si>
  <si>
    <t xml:space="preserve">069</t>
  </si>
  <si>
    <t xml:space="preserve">104</t>
  </si>
  <si>
    <t xml:space="preserve">107</t>
  </si>
  <si>
    <t xml:space="preserve">110</t>
  </si>
  <si>
    <t xml:space="preserve">113</t>
  </si>
  <si>
    <t xml:space="preserve">115</t>
  </si>
  <si>
    <t xml:space="preserve">117</t>
  </si>
  <si>
    <t xml:space="preserve">118</t>
  </si>
  <si>
    <t xml:space="preserve">120</t>
  </si>
  <si>
    <t xml:space="preserve">121</t>
  </si>
  <si>
    <t xml:space="preserve">122</t>
  </si>
  <si>
    <t xml:space="preserve">123</t>
  </si>
  <si>
    <t xml:space="preserve">126</t>
  </si>
  <si>
    <t xml:space="preserve">127</t>
  </si>
  <si>
    <t xml:space="preserve">128</t>
  </si>
  <si>
    <t xml:space="preserve">131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</si>
  <si>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</si>
  <si>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</si>
  <si>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</si>
  <si>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</si>
  <si>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</si>
  <si>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</si>
  <si>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</si>
  <si>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</si>
  <si>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</si>
  <si>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</si>
  <si>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150</t>
  </si>
  <si>
    <t xml:space="preserve">151</t>
  </si>
  <si>
    <t xml:space="preserve">160</t>
  </si>
  <si>
    <t xml:space="preserve">161</t>
  </si>
  <si>
    <t xml:space="preserve">163</t>
  </si>
  <si>
    <t xml:space="preserve">165</t>
  </si>
  <si>
    <t xml:space="preserve">176</t>
  </si>
  <si>
    <t xml:space="preserve">180</t>
  </si>
  <si>
    <t xml:space="preserve">181</t>
  </si>
  <si>
    <t xml:space="preserve">182</t>
  </si>
  <si>
    <t xml:space="preserve">183</t>
  </si>
  <si>
    <t xml:space="preserve">186</t>
  </si>
  <si>
    <t xml:space="preserve">192</t>
  </si>
  <si>
    <t xml:space="preserve">198</t>
  </si>
  <si>
    <t xml:space="preserve">199</t>
  </si>
  <si>
    <t xml:space="preserve">207</t>
  </si>
  <si>
    <t xml:space="preserve">209</t>
  </si>
  <si>
    <t xml:space="preserve">216</t>
  </si>
  <si>
    <t xml:space="preserve">219</t>
  </si>
  <si>
    <t xml:space="preserve">220</t>
  </si>
  <si>
    <t xml:space="preserve">223</t>
  </si>
  <si>
    <t xml:space="preserve">224</t>
  </si>
  <si>
    <t xml:space="preserve">228</t>
  </si>
  <si>
    <t xml:space="preserve">229</t>
  </si>
  <si>
    <t xml:space="preserve">233</t>
  </si>
  <si>
    <t xml:space="preserve">234</t>
  </si>
  <si>
    <t xml:space="preserve">235</t>
  </si>
  <si>
    <t xml:space="preserve">236</t>
  </si>
  <si>
    <t xml:space="preserve">239</t>
  </si>
  <si>
    <t xml:space="preserve">240</t>
  </si>
  <si>
    <t xml:space="preserve">249</t>
  </si>
  <si>
    <t xml:space="preserve">256</t>
  </si>
  <si>
    <t xml:space="preserve">267</t>
  </si>
  <si>
    <t xml:space="preserve">269</t>
  </si>
  <si>
    <t xml:space="preserve">271</t>
  </si>
  <si>
    <t xml:space="preserve">272</t>
  </si>
  <si>
    <t xml:space="preserve">273</t>
  </si>
  <si>
    <t xml:space="preserve">275</t>
  </si>
  <si>
    <t xml:space="preserve">276</t>
  </si>
  <si>
    <t xml:space="preserve">277</t>
  </si>
  <si>
    <t xml:space="preserve">280</t>
  </si>
  <si>
    <t xml:space="preserve">282</t>
  </si>
  <si>
    <t xml:space="preserve">283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</si>
  <si>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</si>
  <si>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</si>
  <si>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</si>
  <si>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</si>
  <si>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</si>
  <si>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</si>
  <si>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297</t>
  </si>
  <si>
    <t xml:space="preserve">300</t>
  </si>
  <si>
    <t xml:space="preserve">301</t>
  </si>
  <si>
    <t xml:space="preserve">303</t>
  </si>
  <si>
    <t xml:space="preserve">312</t>
  </si>
  <si>
    <t xml:space="preserve">318</t>
  </si>
  <si>
    <t xml:space="preserve">324</t>
  </si>
  <si>
    <t xml:space="preserve">226</t>
  </si>
  <si>
    <t xml:space="preserve">260728</t>
  </si>
  <si>
    <t xml:space="preserve">Records:</t>
  </si>
  <si>
    <t xml:space="preserve">Sum of Qty:</t>
  </si>
  <si>
    <t xml:space="preserve">FIELD-BY-FIELD VALIDATION RESULTS (940 comparisons across 188 records)</t>
  </si>
  <si>
    <t xml:space="preserve">A. Per-field roll-up</t>
  </si>
  <si>
    <t xml:space="preserve">Field</t>
  </si>
  <si>
    <t xml:space="preserve">EDI position</t>
  </si>
  <si>
    <t xml:space="preserve">Compared</t>
  </si>
  <si>
    <t xml:space="preserve">Matched</t>
  </si>
  <si>
    <t xml:space="preserve">Mismatched</t>
  </si>
  <si>
    <t xml:space="preserve">Quantity</t>
  </si>
  <si>
    <t xml:space="preserve">SDQ block chars 18-27</t>
  </si>
  <si>
    <t xml:space="preserve">10-char zero-padded, leading minus retained on 17 records</t>
  </si>
  <si>
    <t xml:space="preserve">Store number</t>
  </si>
  <si>
    <t xml:space="preserve">SDQ block chars 1-3</t>
  </si>
  <si>
    <t xml:space="preserve">Leading zeros retained (020, 027, 032 …)</t>
  </si>
  <si>
    <t xml:space="preserve">Unit of measure</t>
  </si>
  <si>
    <t xml:space="preserve">SDQ chars 7-8</t>
  </si>
  <si>
    <t xml:space="preserve">All EA</t>
  </si>
  <si>
    <t xml:space="preserve">Location qualifier</t>
  </si>
  <si>
    <t xml:space="preserve">SDQ chars 9-10</t>
  </si>
  <si>
    <t xml:space="preserve">All 92</t>
  </si>
  <si>
    <t xml:space="preserve">ZA amount / price</t>
  </si>
  <si>
    <t xml:space="preserve">ZA chars 9-18</t>
  </si>
  <si>
    <t xml:space="preserve">All 0000000000 in both files — no price data on this feed</t>
  </si>
  <si>
    <t xml:space="preserve">ZA date qualifier</t>
  </si>
  <si>
    <t xml:space="preserve">ZA chars 21-23</t>
  </si>
  <si>
    <t xml:space="preserve">007 on QS groups, absent on QA groups</t>
  </si>
  <si>
    <t xml:space="preserve">ZA activity date</t>
  </si>
  <si>
    <t xml:space="preserve">ZA chars 24-29</t>
  </si>
  <si>
    <t xml:space="preserve">260727 (7 recs), 260728 (1 rec)</t>
  </si>
  <si>
    <t xml:space="preserve">ISBN / UPC</t>
  </si>
  <si>
    <t xml:space="preserve">LIN chars 15+</t>
  </si>
  <si>
    <t xml:space="preserve">EN 13-digit ISBN ×3, UP 12-digit UPC ×1</t>
  </si>
  <si>
    <t xml:space="preserve">LIN qualifier</t>
  </si>
  <si>
    <t xml:space="preserve">LIN chars 13-14</t>
  </si>
  <si>
    <t xml:space="preserve">EN / UP</t>
  </si>
  <si>
    <t xml:space="preserve">Interchange header</t>
  </si>
  <si>
    <t xml:space="preserve">852000 full line</t>
  </si>
  <si>
    <t xml:space="preserve">Sender, receiver, version, date/time identical</t>
  </si>
  <si>
    <t xml:space="preserve">XQ activity date</t>
  </si>
  <si>
    <t xml:space="preserve">XQ chars 7-13</t>
  </si>
  <si>
    <t xml:space="preserve">H260724 in both</t>
  </si>
  <si>
    <t xml:space="preserve">CTT control total</t>
  </si>
  <si>
    <t xml:space="preserve">CTT chars 7-12</t>
  </si>
  <si>
    <t xml:space="preserve">See Control Total sheet — internally consistent in both</t>
  </si>
  <si>
    <t xml:space="preserve">TOTAL</t>
  </si>
  <si>
    <t xml:space="preserve">B. Per-LIN validation</t>
  </si>
  <si>
    <t xml:space="preserve">LIN (ISBN/UPC)</t>
  </si>
  <si>
    <t xml:space="preserve">Golden set / row</t>
  </si>
  <si>
    <t xml:space="preserve">Generated set / row</t>
  </si>
  <si>
    <t xml:space="preserve">Detail records</t>
  </si>
  <si>
    <t xml:space="preserve">Golden Qty</t>
  </si>
  <si>
    <t xml:space="preserve">Generated Qty</t>
  </si>
  <si>
    <t xml:space="preserve">Set 2 / row 9</t>
  </si>
  <si>
    <t xml:space="preserve">Set 1 / row 3</t>
  </si>
  <si>
    <t xml:space="preserve">Set 2 / row 2051</t>
  </si>
  <si>
    <t xml:space="preserve">Set 1 / row 6</t>
  </si>
  <si>
    <t xml:space="preserve">Set 2 / row 10634</t>
  </si>
  <si>
    <t xml:space="preserve">Set 1 / row 11</t>
  </si>
  <si>
    <t xml:space="preserve">Set 4 / row 85308</t>
  </si>
  <si>
    <t xml:space="preserve">Set 2 / row 34</t>
  </si>
  <si>
    <t xml:space="preserve">SEGMENT-LEVEL RAW COMPARISON — all 37 LIN/ZA/SDQ lines for the 4 in-scope LINs</t>
  </si>
  <si>
    <t xml:space="preserve">Trailing pad differs by storage only: the Generated workbook keeps the 512-char fixed width from the input file; the Golden workbook stores right-trimmed strings. Comparison is on trimmed content.</t>
  </si>
  <si>
    <t xml:space="preserve">Segment</t>
  </si>
  <si>
    <t xml:space="preserve">Golden row</t>
  </si>
  <si>
    <t xml:space="preserve">Generated row</t>
  </si>
  <si>
    <t xml:space="preserve">Golden Value (raw segment)</t>
  </si>
  <si>
    <t xml:space="preserve">Generated Value (raw segment)</t>
  </si>
  <si>
    <t xml:space="preserve">852LIN      EN9780008392741</t>
  </si>
  <si>
    <t xml:space="preserve">ZA</t>
  </si>
  <si>
    <t xml:space="preserve">852ZA QA0000000000</t>
  </si>
  <si>
    <t xml:space="preserve">SDQ</t>
  </si>
  <si>
    <t xml:space="preserve">852SDQEA92020              -000000002                 0000000000                 0000000000                 0000000000                 0000000000                 0000000000                 0000000000                 0000000000                 0000000000                 0000000000</t>
  </si>
  <si>
    <t xml:space="preserve">852LIN      EN9780063215184</t>
  </si>
  <si>
    <t xml:space="preserve">852SDQEA92159              0000000001215              0000000002                 0000000000                 0000000000                 0000000000                 0000000000                 0000000000                 0000000000                 0000000000                 0000000000</t>
  </si>
  <si>
    <t xml:space="preserve">852ZA QS0000000000  007260727</t>
  </si>
  <si>
    <t xml:space="preserve">852SDQEA92159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</si>
  <si>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 xml:space="preserve">852LIN      EN9780525559498</t>
  </si>
  <si>
    <t xml:space="preserve">852SDQEA92032              0000000002034              0000000002035              0000000001036              0000000002043              0000000002048              0000000002050              0000000003052              0000000002053              0000000001055              0000000001</t>
  </si>
  <si>
    <t xml:space="preserve">852SDQEA92057              -000000001061              0000000002063              0000000001064              0000000002065              0000000002066              0000000002069              0000000001104              0000000001105              0000000002107              0000000002</t>
  </si>
  <si>
    <t xml:space="preserve">852SDQEA92109              0000000001110              0000000001113              -000000001115              0000000002117              0000000002118              0000000002120              0000000002121              0000000002122              0000000002123              0000000001</t>
  </si>
  <si>
    <t xml:space="preserve">852SDQEA92126              0000000002127              0000000001128              0000000002131              0000000002133              0000000002134              0000000001135              0000000001136              0000000002137              0000000001138              0000000001</t>
  </si>
  <si>
    <t xml:space="preserve">852SDQEA92139              0000000002140              0000000002144              0000000002145              0000000001146              -000000001147              0000000002148              0000000002149              0000000001150              0000000002151              0000000001</t>
  </si>
  <si>
    <t xml:space="preserve">852SDQEA92155              0000000003159              0000000002160              0000000002161              0000000001163              0000000001164              0000000001165              0000000001166              0000000001169              0000000001170              0000000001</t>
  </si>
  <si>
    <t xml:space="preserve">852SDQEA92176              -000000001178              0000000002180              0000000001181              0000000001182              0000000002183              0000000002186              0000000002192              0000000001198              0000000001199              0000000002</t>
  </si>
  <si>
    <t xml:space="preserve">852SDQEA92201              0000000001203              0000000002206              0000000002207              0000000002209              0000000002211              0000000001214              0000000001215              0000000002216              0000000003218              0000000002</t>
  </si>
  <si>
    <t xml:space="preserve">852SDQEA92219              0000000005220              0000000002223              0000000002224              0000000002227              0000000002228              0000000001229              0000000002230              0000000002231              0000000002232              0000000001</t>
  </si>
  <si>
    <t xml:space="preserve">852SDQEA92233              0000000002234              0000000002235              0000000002236              0000000002237              0000000002239              0000000001240              0000000002249              0000000002256              0000000002267              -000000001</t>
  </si>
  <si>
    <t xml:space="preserve">852SDQEA92269              0000000002271              0000000002272              0000000001273              0000000002275              0000000001276              0000000002277              0000000001280              0000000002282              0000000001283              0000000002</t>
  </si>
  <si>
    <t xml:space="preserve">852SDQEA92285              0000000001287              0000000002288              0000000001289              0000000001290              0000000001291              0000000002297              0000000002300              0000000002301              0000000002302              0000000001</t>
  </si>
  <si>
    <t xml:space="preserve">852SDQEA92303              0000000001312              0000000004318              -000000001324              0000000002                 0000000000                 0000000000                 0000000000                 0000000000                 0000000000                 0000000000</t>
  </si>
  <si>
    <t xml:space="preserve">852SDQEA92149              0000000001226              0000000001                 0000000000                 0000000000                 0000000000                 0000000000                 0000000000                 0000000000                 0000000000                 0000000000</t>
  </si>
  <si>
    <t xml:space="preserve">852ZA QS0000000000  007260728</t>
  </si>
  <si>
    <t xml:space="preserve">852SDQEA92170              0000000001                 0000000000                 0000000000                 0000000000                 0000000000                 0000000000                 0000000000                 0000000000                 0000000000                 0000000000</t>
  </si>
  <si>
    <t xml:space="preserve">852LIN      UP689860520851</t>
  </si>
  <si>
    <t xml:space="preserve">852SDQEA92020              0000000001027              0000000047034              0000000058036              0000000028041              0000000002042              0000000002050              0000000043054              0000000002058              0000000037064              0000000005</t>
  </si>
  <si>
    <t xml:space="preserve">852SDQEA92065              0000000018066              0000000011071              0000000031109              0000000004114              0000000005116              0000000021130              0000000014133              0000000028134              0000000001137              0000000015</t>
  </si>
  <si>
    <t xml:space="preserve">852SDQEA92149              0000000005155              0000000001157              0000000014158              -000000001159              -000000002164              -000000010166              0000000044169              0000000005170              0000000116177              0000000042</t>
  </si>
  <si>
    <t xml:space="preserve">852SDQEA92178              -000000016187              0000000003195              -000000005197              0000000003201              0000000001203              0000000033206              0000000012211              0000000053214              0000000004215              -000000002</t>
  </si>
  <si>
    <t xml:space="preserve">852SDQEA92217              -000000006218              0000000016230              0000000026231              0000000001232              -000000021237              0000000007242              -000000007243              0000000006270              -000000001293              0000000002</t>
  </si>
  <si>
    <t xml:space="preserve">852SDQEA92299              0000000054302              0000000003306              0000000026                 0000000000                 0000000000                 0000000000                 0000000000                 0000000000                 0000000000                 0000000000</t>
  </si>
  <si>
    <t xml:space="preserve">852SDQEA92105              0000000002204              0000000004227              0000000002231              0000000001                 0000000000                 0000000000                 0000000000                 0000000000                 0000000000                 0000000000</t>
  </si>
  <si>
    <t xml:space="preserve">Lines compared / matched:</t>
  </si>
  <si>
    <t xml:space="preserve">MISMATCH SUMMARY</t>
  </si>
  <si>
    <t xml:space="preserve">Category</t>
  </si>
  <si>
    <t xml:space="preserve">Severity</t>
  </si>
  <si>
    <t xml:space="preserve">Affected LINs</t>
  </si>
  <si>
    <t xml:space="preserve">Affected Stores</t>
  </si>
  <si>
    <t xml:space="preserve">Detail</t>
  </si>
  <si>
    <t xml:space="preserve">Missing records (present in Golden, absent in Generated)</t>
  </si>
  <si>
    <t xml:space="preserve">None</t>
  </si>
  <si>
    <t xml:space="preserve">All 188 Generated keys resolved in Golden; no in-scope Golden key unresolved</t>
  </si>
  <si>
    <t xml:space="preserve">Extra records (present in Generated, absent in Golden)</t>
  </si>
  <si>
    <t xml:space="preserve">No orphan records</t>
  </si>
  <si>
    <t xml:space="preserve">188/188 quantities equal, including all 17 negative values</t>
  </si>
  <si>
    <t xml:space="preserve">Price differences</t>
  </si>
  <si>
    <t xml:space="preserve">ZA amount 0000000000 in both files across all records</t>
  </si>
  <si>
    <t xml:space="preserve">XQ 260724, ZA/QS 260727 &amp; 260728 identical</t>
  </si>
  <si>
    <t xml:space="preserve">149 store codes identical, leading zeros intact</t>
  </si>
  <si>
    <t xml:space="preserve">4/4 item identifiers identical incl. EN/UP qualifier</t>
  </si>
  <si>
    <t xml:space="preserve">Control total differences</t>
  </si>
  <si>
    <t xml:space="preserve">INFO</t>
  </si>
  <si>
    <t xml:space="preserve">CTT counts differ in absolute value by design (subset test) — see Control Total sheet</t>
  </si>
  <si>
    <t xml:space="preserve">Formatting / padding observations</t>
  </si>
  <si>
    <t xml:space="preserve">All</t>
  </si>
  <si>
    <t xml:space="preserve">Generated retains 512-char fixed width; Golden stored right-trimmed. Content identical.</t>
  </si>
  <si>
    <t xml:space="preserve">TOTAL DEFECTS</t>
  </si>
  <si>
    <t xml:space="preserve">Informational observations are excluded from the defect count.</t>
  </si>
  <si>
    <t xml:space="preserve">CONTROL TOTAL (CTT) VALIDATION</t>
  </si>
  <si>
    <t xml:space="preserve">A. CTT segment comparison</t>
  </si>
  <si>
    <t xml:space="preserve">Transaction set</t>
  </si>
  <si>
    <t xml:space="preserve">File</t>
  </si>
  <si>
    <t xml:space="preserve">CTT raw segment</t>
  </si>
  <si>
    <t xml:space="preserve">CTT count</t>
  </si>
  <si>
    <t xml:space="preserve">Actual LIN count</t>
  </si>
  <si>
    <t xml:space="preserve">Internally consistent</t>
  </si>
  <si>
    <t xml:space="preserve">Set 1 (EN)</t>
  </si>
  <si>
    <t xml:space="preserve">852CTT000003000000000000000000  00000000</t>
  </si>
  <si>
    <t xml:space="preserve">000003</t>
  </si>
  <si>
    <t xml:space="preserve">YES</t>
  </si>
  <si>
    <t xml:space="preserve">Matches the 3 EN LINs in the Generated set</t>
  </si>
  <si>
    <t xml:space="preserve">Set 2 (EN)</t>
  </si>
  <si>
    <t xml:space="preserve">852CTT010813000000000000000000  00000000</t>
  </si>
  <si>
    <t xml:space="preserve">010813</t>
  </si>
  <si>
    <t xml:space="preserve">Golden superset — 10,813 EN LINs</t>
  </si>
  <si>
    <t xml:space="preserve">Set 2 (UP)</t>
  </si>
  <si>
    <t xml:space="preserve">852CTT000001000000000000000000  00000000</t>
  </si>
  <si>
    <t xml:space="preserve">000001</t>
  </si>
  <si>
    <t xml:space="preserve">Matches the 1 UP LIN in the Generated set</t>
  </si>
  <si>
    <t xml:space="preserve">Set 4 (UP)</t>
  </si>
  <si>
    <t xml:space="preserve">852CTT000020000000000000000000  00000000</t>
  </si>
  <si>
    <t xml:space="preserve">000020</t>
  </si>
  <si>
    <t xml:space="preserve">Golden superset — 20 UP LINs</t>
  </si>
  <si>
    <t xml:space="preserve">B. Hash / adjustment control fields</t>
  </si>
  <si>
    <t xml:space="preserve">Control field</t>
  </si>
  <si>
    <t xml:space="preserve">CTT hash total (chars 13-30)</t>
  </si>
  <si>
    <t xml:space="preserve">000000000000000000</t>
  </si>
  <si>
    <t xml:space="preserve">CTT trailing control (chars 33-40)</t>
  </si>
  <si>
    <t xml:space="preserve">00000000</t>
  </si>
  <si>
    <t xml:space="preserve">ZA amount (all records)</t>
  </si>
  <si>
    <t xml:space="preserve">0000000000</t>
  </si>
  <si>
    <t xml:space="preserve">C. Quantity control totals (in-scope LINs)</t>
  </si>
  <si>
    <t xml:space="preserve">Measure</t>
  </si>
  <si>
    <t xml:space="preserve">Sum of all quantities</t>
  </si>
  <si>
    <t xml:space="preserve">Sum of positive quantities</t>
  </si>
  <si>
    <t xml:space="preserve">Sum of negative quantities</t>
  </si>
  <si>
    <t xml:space="preserve">Count of detail records</t>
  </si>
  <si>
    <t xml:space="preserve">Count of negative records</t>
  </si>
  <si>
    <t xml:space="preserve">CTT count values are expected to differ in absolute terms because the Generated run intentionally covers a subset of LINs. The control passes because each file's CTT equals its own LIN count, and every shared LIN reconciles exactly.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</si>
</sst>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name val="Arial"/>
      <family val="0"/>
      <charset val="1"/>
    </font>
    <font>
      <sz val="8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6EFCE"/>
      </patternFill>
    </fill>
    <fill>
      <patternFill patternType="solid">
        <fgColor rgb="FF2E5C8A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6" customFormat="false" ht="15" hidden="false" customHeight="false" outlineLevel="0" collapsed="false">
      <c r="A6" s="6" t="s">
        <v>5</v>
      </c>
      <c r="B6" s="7"/>
      <c r="C6" s="7"/>
      <c r="D6" s="7"/>
    </row>
    <row r="7" customFormat="false" ht="15" hidden="false" customHeight="false" outlineLevel="0" collapsed="false">
      <c r="A7" s="4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 t="s">
        <v>14</v>
      </c>
      <c r="B11" s="5" t="s">
        <v>15</v>
      </c>
    </row>
    <row r="12" customFormat="false" ht="15" hidden="false" customHeight="false" outlineLevel="0" collapsed="false">
      <c r="A12" s="4" t="s">
        <v>16</v>
      </c>
      <c r="B12" s="5" t="s">
        <v>17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5" customFormat="false" ht="15" hidden="false" customHeight="false" outlineLevel="0" collapsed="false">
      <c r="A15" s="6" t="s">
        <v>20</v>
      </c>
      <c r="B15" s="7"/>
      <c r="C15" s="7"/>
      <c r="D15" s="7"/>
    </row>
    <row r="16" customFormat="false" ht="15" hidden="false" customHeight="false" outlineLevel="0" collapsed="false">
      <c r="A16" s="8" t="s">
        <v>21</v>
      </c>
      <c r="B16" s="8" t="s">
        <v>22</v>
      </c>
      <c r="C16" s="8" t="s">
        <v>23</v>
      </c>
      <c r="D16" s="8" t="s">
        <v>24</v>
      </c>
    </row>
    <row r="17" customFormat="false" ht="15" hidden="false" customHeight="false" outlineLevel="0" collapsed="false">
      <c r="A17" s="9" t="s">
        <v>25</v>
      </c>
      <c r="B17" s="9" t="s">
        <v>26</v>
      </c>
      <c r="C17" s="9" t="s">
        <v>27</v>
      </c>
      <c r="D17" s="10" t="s">
        <v>28</v>
      </c>
    </row>
    <row r="18" customFormat="false" ht="15" hidden="false" customHeight="false" outlineLevel="0" collapsed="false">
      <c r="A18" s="9" t="s">
        <v>29</v>
      </c>
      <c r="B18" s="9" t="s">
        <v>30</v>
      </c>
      <c r="C18" s="9" t="s">
        <v>30</v>
      </c>
      <c r="D18" s="10" t="s">
        <v>28</v>
      </c>
    </row>
    <row r="19" customFormat="false" ht="15" hidden="false" customHeight="false" outlineLevel="0" collapsed="false">
      <c r="A19" s="9" t="s">
        <v>31</v>
      </c>
      <c r="B19" s="9" t="s">
        <v>32</v>
      </c>
      <c r="C19" s="9" t="s">
        <v>32</v>
      </c>
      <c r="D19" s="10" t="s">
        <v>28</v>
      </c>
    </row>
    <row r="20" customFormat="false" ht="15" hidden="false" customHeight="false" outlineLevel="0" collapsed="false">
      <c r="A20" s="9" t="s">
        <v>33</v>
      </c>
      <c r="B20" s="9" t="s">
        <v>34</v>
      </c>
      <c r="C20" s="9" t="s">
        <v>34</v>
      </c>
      <c r="D20" s="10" t="s">
        <v>28</v>
      </c>
    </row>
    <row r="21" customFormat="false" ht="15" hidden="false" customHeight="false" outlineLevel="0" collapsed="false">
      <c r="A21" s="9" t="s">
        <v>35</v>
      </c>
      <c r="B21" s="9" t="s">
        <v>36</v>
      </c>
      <c r="C21" s="9" t="s">
        <v>36</v>
      </c>
      <c r="D21" s="10" t="s">
        <v>28</v>
      </c>
    </row>
    <row r="22" customFormat="false" ht="15" hidden="false" customHeight="false" outlineLevel="0" collapsed="false">
      <c r="A22" s="9" t="s">
        <v>37</v>
      </c>
      <c r="B22" s="9" t="s">
        <v>38</v>
      </c>
      <c r="C22" s="9" t="s">
        <v>38</v>
      </c>
      <c r="D22" s="10" t="s">
        <v>28</v>
      </c>
    </row>
    <row r="23" customFormat="false" ht="15" hidden="false" customHeight="false" outlineLevel="0" collapsed="false">
      <c r="A23" s="9" t="s">
        <v>39</v>
      </c>
      <c r="B23" s="9" t="n">
        <v>987</v>
      </c>
      <c r="C23" s="9" t="n">
        <v>987</v>
      </c>
      <c r="D23" s="10" t="s">
        <v>28</v>
      </c>
    </row>
    <row r="24" customFormat="false" ht="15" hidden="false" customHeight="false" outlineLevel="0" collapsed="false">
      <c r="A24" s="9" t="s">
        <v>40</v>
      </c>
      <c r="B24" s="9" t="s">
        <v>41</v>
      </c>
      <c r="C24" s="9" t="s">
        <v>42</v>
      </c>
      <c r="D24" s="10" t="s">
        <v>43</v>
      </c>
    </row>
    <row r="25" customFormat="false" ht="15" hidden="false" customHeight="false" outlineLevel="0" collapsed="false">
      <c r="A25" s="9" t="s">
        <v>44</v>
      </c>
      <c r="B25" s="9" t="s">
        <v>41</v>
      </c>
      <c r="C25" s="9" t="s">
        <v>42</v>
      </c>
      <c r="D25" s="10" t="s">
        <v>43</v>
      </c>
    </row>
    <row r="26" customFormat="false" ht="15" hidden="false" customHeight="false" outlineLevel="0" collapsed="false">
      <c r="A26" s="9" t="s">
        <v>45</v>
      </c>
      <c r="B26" s="9" t="s">
        <v>41</v>
      </c>
      <c r="C26" s="9" t="s">
        <v>42</v>
      </c>
      <c r="D26" s="10" t="s">
        <v>43</v>
      </c>
    </row>
    <row r="27" customFormat="false" ht="15" hidden="false" customHeight="false" outlineLevel="0" collapsed="false">
      <c r="A27" s="9" t="s">
        <v>46</v>
      </c>
      <c r="B27" s="9" t="s">
        <v>41</v>
      </c>
      <c r="C27" s="9" t="s">
        <v>42</v>
      </c>
      <c r="D27" s="10" t="s">
        <v>43</v>
      </c>
    </row>
    <row r="28" customFormat="false" ht="15" hidden="false" customHeight="false" outlineLevel="0" collapsed="false">
      <c r="A28" s="9" t="s">
        <v>47</v>
      </c>
      <c r="B28" s="9" t="s">
        <v>41</v>
      </c>
      <c r="C28" s="9" t="s">
        <v>42</v>
      </c>
      <c r="D28" s="10" t="s">
        <v>43</v>
      </c>
    </row>
    <row r="29" customFormat="false" ht="15" hidden="false" customHeight="false" outlineLevel="0" collapsed="false">
      <c r="A29" s="9" t="s">
        <v>48</v>
      </c>
      <c r="B29" s="9" t="s">
        <v>41</v>
      </c>
      <c r="C29" s="9" t="s">
        <v>42</v>
      </c>
      <c r="D29" s="10" t="s">
        <v>43</v>
      </c>
    </row>
    <row r="30" customFormat="false" ht="15" hidden="false" customHeight="false" outlineLevel="0" collapsed="false">
      <c r="A30" s="9" t="s">
        <v>49</v>
      </c>
      <c r="B30" s="9" t="s">
        <v>41</v>
      </c>
      <c r="C30" s="9" t="s">
        <v>42</v>
      </c>
      <c r="D30" s="10" t="s">
        <v>43</v>
      </c>
    </row>
    <row r="31" customFormat="false" ht="15" hidden="false" customHeight="false" outlineLevel="0" collapsed="false">
      <c r="A31" s="9" t="s">
        <v>50</v>
      </c>
      <c r="B31" s="9" t="s">
        <v>41</v>
      </c>
      <c r="C31" s="9" t="s">
        <v>51</v>
      </c>
      <c r="D31" s="10" t="s">
        <v>43</v>
      </c>
    </row>
    <row r="33" customFormat="false" ht="31.5" hidden="false" customHeight="true" outlineLevel="0" collapsed="false">
      <c r="A33" s="11" t="s">
        <v>52</v>
      </c>
      <c r="B33" s="11"/>
      <c r="C33" s="11"/>
      <c r="D33" s="11"/>
    </row>
    <row r="35" customFormat="false" ht="15" hidden="false" customHeight="false" outlineLevel="0" collapsed="false">
      <c r="A35" s="2" t="s">
        <v>53</v>
      </c>
    </row>
    <row r="36" customFormat="false" ht="15" hidden="false" customHeight="false" outlineLevel="0" collapsed="false">
      <c r="A36" s="4" t="s">
        <v>54</v>
      </c>
      <c r="B36" s="9"/>
      <c r="C36" s="12"/>
    </row>
    <row r="37" customFormat="false" ht="15" hidden="false" customHeight="false" outlineLevel="0" collapsed="false">
      <c r="A37" s="4" t="s">
        <v>55</v>
      </c>
      <c r="B37" s="9"/>
      <c r="C37" s="12"/>
    </row>
    <row r="38" customFormat="false" ht="15" hidden="false" customHeight="false" outlineLevel="0" collapsed="false">
      <c r="A38" s="4" t="s">
        <v>56</v>
      </c>
      <c r="B38" s="9"/>
      <c r="C38" s="12"/>
    </row>
  </sheetData>
  <mergeCells count="2">
    <mergeCell ref="A1:D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64"/>
  </cols>
  <sheetData>
    <row r="1" customFormat="false" ht="24" hidden="false" customHeight="true" outlineLevel="0" collapsed="false">
      <c r="A1" s="1" t="s">
        <v>57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58</v>
      </c>
    </row>
    <row r="4" customFormat="false" ht="23.85" hidden="false" customHeight="false" outlineLevel="0" collapsed="false">
      <c r="A4" s="8" t="s">
        <v>59</v>
      </c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</row>
    <row r="5" customFormat="false" ht="15" hidden="false" customHeight="false" outlineLevel="0" collapsed="false">
      <c r="A5" s="9" t="s">
        <v>65</v>
      </c>
      <c r="B5" s="9" t="n">
        <v>43</v>
      </c>
      <c r="C5" s="9" t="n">
        <v>43</v>
      </c>
      <c r="D5" s="9" t="n">
        <v>0</v>
      </c>
      <c r="E5" s="13" t="s">
        <v>28</v>
      </c>
      <c r="F5" s="9" t="s">
        <v>66</v>
      </c>
    </row>
    <row r="6" customFormat="false" ht="15" hidden="false" customHeight="false" outlineLevel="0" collapsed="false">
      <c r="A6" s="9" t="s">
        <v>67</v>
      </c>
      <c r="B6" s="9" t="n">
        <v>43</v>
      </c>
      <c r="C6" s="9" t="n">
        <v>43</v>
      </c>
      <c r="D6" s="9" t="n">
        <v>0</v>
      </c>
      <c r="E6" s="13" t="s">
        <v>28</v>
      </c>
      <c r="F6" s="9" t="s">
        <v>68</v>
      </c>
    </row>
    <row r="7" customFormat="false" ht="15" hidden="false" customHeight="false" outlineLevel="0" collapsed="false">
      <c r="A7" s="9" t="s">
        <v>69</v>
      </c>
      <c r="B7" s="9" t="n">
        <v>2</v>
      </c>
      <c r="C7" s="9" t="n">
        <v>2</v>
      </c>
      <c r="D7" s="9" t="n">
        <v>0</v>
      </c>
      <c r="E7" s="13" t="s">
        <v>28</v>
      </c>
      <c r="F7" s="9"/>
    </row>
    <row r="8" customFormat="false" ht="15" hidden="false" customHeight="false" outlineLevel="0" collapsed="false">
      <c r="A8" s="9" t="s">
        <v>70</v>
      </c>
      <c r="B8" s="9" t="n">
        <v>2</v>
      </c>
      <c r="C8" s="9" t="n">
        <v>2</v>
      </c>
      <c r="D8" s="9" t="n">
        <v>0</v>
      </c>
      <c r="E8" s="13" t="s">
        <v>28</v>
      </c>
      <c r="F8" s="9"/>
    </row>
    <row r="9" customFormat="false" ht="15" hidden="false" customHeight="false" outlineLevel="0" collapsed="false">
      <c r="A9" s="9" t="s">
        <v>71</v>
      </c>
      <c r="B9" s="9" t="n">
        <v>4</v>
      </c>
      <c r="C9" s="9" t="n">
        <v>4</v>
      </c>
      <c r="D9" s="9" t="n">
        <v>0</v>
      </c>
      <c r="E9" s="13" t="s">
        <v>28</v>
      </c>
      <c r="F9" s="9"/>
    </row>
    <row r="10" customFormat="false" ht="15" hidden="false" customHeight="false" outlineLevel="0" collapsed="false">
      <c r="A10" s="9" t="s">
        <v>72</v>
      </c>
      <c r="B10" s="9" t="n">
        <v>8</v>
      </c>
      <c r="C10" s="9" t="n">
        <v>8</v>
      </c>
      <c r="D10" s="9" t="n">
        <v>0</v>
      </c>
      <c r="E10" s="13" t="s">
        <v>28</v>
      </c>
      <c r="F10" s="9"/>
    </row>
    <row r="11" customFormat="false" ht="15" hidden="false" customHeight="false" outlineLevel="0" collapsed="false">
      <c r="A11" s="9" t="s">
        <v>73</v>
      </c>
      <c r="B11" s="9" t="n">
        <v>25</v>
      </c>
      <c r="C11" s="9" t="n">
        <v>25</v>
      </c>
      <c r="D11" s="9" t="n">
        <v>0</v>
      </c>
      <c r="E11" s="13" t="s">
        <v>28</v>
      </c>
      <c r="F11" s="9"/>
    </row>
    <row r="12" customFormat="false" ht="15" hidden="false" customHeight="false" outlineLevel="0" collapsed="false">
      <c r="A12" s="9" t="s">
        <v>74</v>
      </c>
      <c r="B12" s="9" t="n">
        <v>2</v>
      </c>
      <c r="C12" s="9" t="n">
        <v>2</v>
      </c>
      <c r="D12" s="9" t="n">
        <v>0</v>
      </c>
      <c r="E12" s="13" t="s">
        <v>28</v>
      </c>
      <c r="F12" s="9"/>
    </row>
    <row r="14" customFormat="false" ht="15" hidden="false" customHeight="false" outlineLevel="0" collapsed="false">
      <c r="A14" s="2" t="s">
        <v>75</v>
      </c>
    </row>
    <row r="15" customFormat="false" ht="15" hidden="false" customHeight="false" outlineLevel="0" collapsed="false">
      <c r="A15" s="8" t="s">
        <v>59</v>
      </c>
      <c r="B15" s="8" t="s">
        <v>76</v>
      </c>
      <c r="C15" s="8" t="s">
        <v>23</v>
      </c>
      <c r="D15" s="8" t="s">
        <v>62</v>
      </c>
      <c r="E15" s="8" t="s">
        <v>63</v>
      </c>
      <c r="F15" s="8" t="s">
        <v>64</v>
      </c>
    </row>
    <row r="16" customFormat="false" ht="15" hidden="false" customHeight="false" outlineLevel="0" collapsed="false">
      <c r="A16" s="9" t="s">
        <v>77</v>
      </c>
      <c r="B16" s="9" t="n">
        <v>4</v>
      </c>
      <c r="C16" s="9" t="n">
        <v>4</v>
      </c>
      <c r="D16" s="9" t="n">
        <v>0</v>
      </c>
      <c r="E16" s="13" t="s">
        <v>28</v>
      </c>
      <c r="F16" s="9" t="s">
        <v>78</v>
      </c>
    </row>
    <row r="17" customFormat="false" ht="15" hidden="false" customHeight="false" outlineLevel="0" collapsed="false">
      <c r="A17" s="9" t="s">
        <v>79</v>
      </c>
      <c r="B17" s="9" t="n">
        <v>188</v>
      </c>
      <c r="C17" s="9" t="n">
        <v>188</v>
      </c>
      <c r="D17" s="9" t="n">
        <v>0</v>
      </c>
      <c r="E17" s="13" t="s">
        <v>28</v>
      </c>
      <c r="F17" s="9" t="s">
        <v>80</v>
      </c>
    </row>
    <row r="18" customFormat="false" ht="15" hidden="false" customHeight="false" outlineLevel="0" collapsed="false">
      <c r="A18" s="9" t="s">
        <v>33</v>
      </c>
      <c r="B18" s="9" t="n">
        <v>149</v>
      </c>
      <c r="C18" s="9" t="n">
        <v>149</v>
      </c>
      <c r="D18" s="9" t="n">
        <v>0</v>
      </c>
      <c r="E18" s="13" t="s">
        <v>28</v>
      </c>
      <c r="F18" s="9" t="s">
        <v>81</v>
      </c>
    </row>
    <row r="19" customFormat="false" ht="15" hidden="false" customHeight="false" outlineLevel="0" collapsed="false">
      <c r="A19" s="9" t="s">
        <v>82</v>
      </c>
      <c r="B19" s="9" t="n">
        <v>8</v>
      </c>
      <c r="C19" s="9" t="n">
        <v>8</v>
      </c>
      <c r="D19" s="9" t="n">
        <v>0</v>
      </c>
      <c r="E19" s="13" t="s">
        <v>28</v>
      </c>
      <c r="F19" s="9" t="s">
        <v>83</v>
      </c>
    </row>
    <row r="20" customFormat="false" ht="15" hidden="false" customHeight="false" outlineLevel="0" collapsed="false">
      <c r="A20" s="9" t="s">
        <v>84</v>
      </c>
      <c r="B20" s="9" t="n">
        <v>17</v>
      </c>
      <c r="C20" s="9" t="n">
        <v>17</v>
      </c>
      <c r="D20" s="9" t="n">
        <v>0</v>
      </c>
      <c r="E20" s="13" t="s">
        <v>28</v>
      </c>
      <c r="F20" s="9" t="s">
        <v>85</v>
      </c>
    </row>
    <row r="21" customFormat="false" ht="15" hidden="false" customHeight="false" outlineLevel="0" collapsed="false">
      <c r="A21" s="9" t="s">
        <v>86</v>
      </c>
      <c r="B21" s="9" t="n">
        <v>0</v>
      </c>
      <c r="C21" s="9" t="n">
        <v>0</v>
      </c>
      <c r="D21" s="9" t="n">
        <v>0</v>
      </c>
      <c r="E21" s="13" t="s">
        <v>28</v>
      </c>
      <c r="F21" s="9" t="s">
        <v>87</v>
      </c>
    </row>
    <row r="23" customFormat="false" ht="15" hidden="false" customHeight="false" outlineLevel="0" collapsed="false">
      <c r="A23" s="2" t="s">
        <v>88</v>
      </c>
    </row>
    <row r="24" customFormat="false" ht="15" hidden="false" customHeight="false" outlineLevel="0" collapsed="false">
      <c r="A24" s="8" t="s">
        <v>89</v>
      </c>
      <c r="B24" s="8" t="s">
        <v>90</v>
      </c>
      <c r="C24" s="8"/>
      <c r="D24" s="8"/>
      <c r="E24" s="8"/>
      <c r="F24" s="8"/>
    </row>
    <row r="25" customFormat="false" ht="15" hidden="false" customHeight="false" outlineLevel="0" collapsed="false">
      <c r="A25" s="9" t="s">
        <v>91</v>
      </c>
      <c r="B25" s="14" t="n">
        <v>85510</v>
      </c>
    </row>
    <row r="26" customFormat="false" ht="15" hidden="false" customHeight="false" outlineLevel="0" collapsed="false">
      <c r="A26" s="9" t="s">
        <v>92</v>
      </c>
      <c r="B26" s="14" t="n">
        <v>5</v>
      </c>
    </row>
    <row r="27" customFormat="false" ht="15" hidden="false" customHeight="false" outlineLevel="0" collapsed="false">
      <c r="A27" s="9" t="s">
        <v>71</v>
      </c>
      <c r="B27" s="14" t="n">
        <v>10864</v>
      </c>
    </row>
    <row r="28" customFormat="false" ht="15" hidden="false" customHeight="false" outlineLevel="0" collapsed="false">
      <c r="A28" s="9" t="s">
        <v>72</v>
      </c>
      <c r="B28" s="14" t="n">
        <v>12477</v>
      </c>
    </row>
    <row r="29" customFormat="false" ht="15" hidden="false" customHeight="false" outlineLevel="0" collapsed="false">
      <c r="A29" s="9" t="s">
        <v>73</v>
      </c>
      <c r="B29" s="14" t="n">
        <v>62153</v>
      </c>
    </row>
    <row r="30" customFormat="false" ht="15" hidden="false" customHeight="false" outlineLevel="0" collapsed="false">
      <c r="A30" s="9" t="s">
        <v>93</v>
      </c>
      <c r="B30" s="14" t="n">
        <v>1</v>
      </c>
    </row>
    <row r="31" customFormat="false" ht="15" hidden="false" customHeight="false" outlineLevel="0" collapsed="false">
      <c r="A31" s="9" t="s">
        <v>31</v>
      </c>
      <c r="B31" s="14" t="n">
        <v>550125</v>
      </c>
    </row>
    <row r="32" customFormat="false" ht="15" hidden="false" customHeight="false" outlineLevel="0" collapsed="false">
      <c r="A32" s="9" t="s">
        <v>33</v>
      </c>
      <c r="B32" s="14" t="n">
        <v>272</v>
      </c>
    </row>
    <row r="33" customFormat="false" ht="15" hidden="false" customHeight="false" outlineLevel="0" collapsed="false">
      <c r="A33" s="9" t="s">
        <v>94</v>
      </c>
      <c r="B33" s="14" t="n">
        <v>1168089</v>
      </c>
    </row>
    <row r="35" customFormat="false" ht="15" hidden="false" customHeight="false" outlineLevel="0" collapsed="false">
      <c r="A35" s="15" t="s">
        <v>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48"/>
  </cols>
  <sheetData>
    <row r="1" customFormat="false" ht="24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3.85" hidden="false" customHeight="false" outlineLevel="0" collapsed="false">
      <c r="A3" s="8" t="s">
        <v>97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8" t="s">
        <v>104</v>
      </c>
      <c r="I3" s="8" t="s">
        <v>105</v>
      </c>
      <c r="J3" s="8" t="s">
        <v>64</v>
      </c>
    </row>
    <row r="4" customFormat="false" ht="15" hidden="false" customHeight="false" outlineLevel="0" collapsed="false">
      <c r="A4" s="16" t="s">
        <v>106</v>
      </c>
      <c r="B4" s="16" t="s">
        <v>106</v>
      </c>
      <c r="C4" s="9" t="s">
        <v>107</v>
      </c>
      <c r="D4" s="9" t="s">
        <v>108</v>
      </c>
      <c r="E4" s="9" t="s">
        <v>109</v>
      </c>
      <c r="F4" s="16" t="s">
        <v>110</v>
      </c>
      <c r="G4" s="16" t="s">
        <v>111</v>
      </c>
      <c r="H4" s="16" t="s">
        <v>111</v>
      </c>
      <c r="I4" s="10" t="s">
        <v>28</v>
      </c>
      <c r="J4" s="9" t="s">
        <v>112</v>
      </c>
    </row>
    <row r="5" customFormat="false" ht="15" hidden="false" customHeight="false" outlineLevel="0" collapsed="false">
      <c r="A5" s="16" t="s">
        <v>106</v>
      </c>
      <c r="B5" s="16" t="s">
        <v>106</v>
      </c>
      <c r="C5" s="9" t="s">
        <v>107</v>
      </c>
      <c r="D5" s="9" t="s">
        <v>108</v>
      </c>
      <c r="E5" s="9" t="s">
        <v>109</v>
      </c>
      <c r="F5" s="16" t="s">
        <v>113</v>
      </c>
      <c r="G5" s="16" t="s">
        <v>114</v>
      </c>
      <c r="H5" s="16" t="s">
        <v>114</v>
      </c>
      <c r="I5" s="10" t="s">
        <v>28</v>
      </c>
      <c r="J5" s="9" t="s">
        <v>112</v>
      </c>
    </row>
    <row r="6" customFormat="false" ht="15" hidden="false" customHeight="false" outlineLevel="0" collapsed="false">
      <c r="A6" s="16" t="s">
        <v>106</v>
      </c>
      <c r="B6" s="16" t="s">
        <v>106</v>
      </c>
      <c r="C6" s="9" t="s">
        <v>107</v>
      </c>
      <c r="D6" s="9" t="s">
        <v>108</v>
      </c>
      <c r="E6" s="9" t="s">
        <v>109</v>
      </c>
      <c r="F6" s="16" t="s">
        <v>115</v>
      </c>
      <c r="G6" s="16" t="s">
        <v>116</v>
      </c>
      <c r="H6" s="16" t="s">
        <v>116</v>
      </c>
      <c r="I6" s="10" t="s">
        <v>28</v>
      </c>
      <c r="J6" s="9" t="s">
        <v>112</v>
      </c>
    </row>
    <row r="7" customFormat="false" ht="15" hidden="false" customHeight="false" outlineLevel="0" collapsed="false">
      <c r="A7" s="16" t="s">
        <v>106</v>
      </c>
      <c r="B7" s="16" t="s">
        <v>106</v>
      </c>
      <c r="C7" s="9" t="s">
        <v>107</v>
      </c>
      <c r="D7" s="9" t="s">
        <v>108</v>
      </c>
      <c r="E7" s="9" t="s">
        <v>109</v>
      </c>
      <c r="F7" s="16" t="s">
        <v>117</v>
      </c>
      <c r="G7" s="16" t="s">
        <v>118</v>
      </c>
      <c r="H7" s="16" t="s">
        <v>118</v>
      </c>
      <c r="I7" s="10" t="s">
        <v>28</v>
      </c>
      <c r="J7" s="9" t="s">
        <v>112</v>
      </c>
    </row>
    <row r="8" customFormat="false" ht="15" hidden="false" customHeight="false" outlineLevel="0" collapsed="false">
      <c r="A8" s="16" t="s">
        <v>106</v>
      </c>
      <c r="B8" s="16" t="s">
        <v>106</v>
      </c>
      <c r="C8" s="9" t="s">
        <v>107</v>
      </c>
      <c r="D8" s="9" t="s">
        <v>108</v>
      </c>
      <c r="E8" s="9" t="s">
        <v>109</v>
      </c>
      <c r="F8" s="16" t="s">
        <v>119</v>
      </c>
      <c r="G8" s="16" t="s">
        <v>120</v>
      </c>
      <c r="H8" s="16" t="s">
        <v>120</v>
      </c>
      <c r="I8" s="10" t="s">
        <v>28</v>
      </c>
      <c r="J8" s="9" t="s">
        <v>112</v>
      </c>
    </row>
    <row r="9" customFormat="false" ht="15" hidden="false" customHeight="false" outlineLevel="0" collapsed="false">
      <c r="A9" s="16" t="s">
        <v>106</v>
      </c>
      <c r="B9" s="16" t="s">
        <v>106</v>
      </c>
      <c r="C9" s="9" t="s">
        <v>107</v>
      </c>
      <c r="D9" s="9" t="s">
        <v>108</v>
      </c>
      <c r="E9" s="9" t="s">
        <v>109</v>
      </c>
      <c r="F9" s="16" t="s">
        <v>121</v>
      </c>
      <c r="G9" s="16" t="s">
        <v>120</v>
      </c>
      <c r="H9" s="16" t="s">
        <v>120</v>
      </c>
      <c r="I9" s="10" t="s">
        <v>28</v>
      </c>
      <c r="J9" s="9" t="s">
        <v>112</v>
      </c>
    </row>
    <row r="10" customFormat="false" ht="15" hidden="false" customHeight="false" outlineLevel="0" collapsed="false">
      <c r="A10" s="16" t="s">
        <v>106</v>
      </c>
      <c r="B10" s="16" t="s">
        <v>106</v>
      </c>
      <c r="C10" s="9" t="s">
        <v>107</v>
      </c>
      <c r="D10" s="9" t="s">
        <v>108</v>
      </c>
      <c r="E10" s="9" t="s">
        <v>109</v>
      </c>
      <c r="F10" s="16" t="s">
        <v>122</v>
      </c>
      <c r="G10" s="16" t="s">
        <v>123</v>
      </c>
      <c r="H10" s="16" t="s">
        <v>123</v>
      </c>
      <c r="I10" s="10" t="s">
        <v>28</v>
      </c>
      <c r="J10" s="9" t="s">
        <v>112</v>
      </c>
    </row>
    <row r="11" customFormat="false" ht="15" hidden="false" customHeight="false" outlineLevel="0" collapsed="false">
      <c r="A11" s="16" t="s">
        <v>106</v>
      </c>
      <c r="B11" s="16" t="s">
        <v>106</v>
      </c>
      <c r="C11" s="9" t="s">
        <v>107</v>
      </c>
      <c r="D11" s="9" t="s">
        <v>108</v>
      </c>
      <c r="E11" s="9" t="s">
        <v>109</v>
      </c>
      <c r="F11" s="16" t="s">
        <v>124</v>
      </c>
      <c r="G11" s="16" t="s">
        <v>120</v>
      </c>
      <c r="H11" s="16" t="s">
        <v>120</v>
      </c>
      <c r="I11" s="10" t="s">
        <v>28</v>
      </c>
      <c r="J11" s="9" t="s">
        <v>112</v>
      </c>
    </row>
    <row r="12" customFormat="false" ht="15" hidden="false" customHeight="false" outlineLevel="0" collapsed="false">
      <c r="A12" s="16" t="s">
        <v>106</v>
      </c>
      <c r="B12" s="16" t="s">
        <v>106</v>
      </c>
      <c r="C12" s="9" t="s">
        <v>107</v>
      </c>
      <c r="D12" s="9" t="s">
        <v>108</v>
      </c>
      <c r="E12" s="9" t="s">
        <v>109</v>
      </c>
      <c r="F12" s="16" t="s">
        <v>125</v>
      </c>
      <c r="G12" s="16" t="s">
        <v>126</v>
      </c>
      <c r="H12" s="16" t="s">
        <v>126</v>
      </c>
      <c r="I12" s="10" t="s">
        <v>28</v>
      </c>
      <c r="J12" s="9" t="s">
        <v>112</v>
      </c>
    </row>
    <row r="13" customFormat="false" ht="15" hidden="false" customHeight="false" outlineLevel="0" collapsed="false">
      <c r="A13" s="16" t="s">
        <v>106</v>
      </c>
      <c r="B13" s="16" t="s">
        <v>106</v>
      </c>
      <c r="C13" s="9" t="s">
        <v>107</v>
      </c>
      <c r="D13" s="9" t="s">
        <v>108</v>
      </c>
      <c r="E13" s="9" t="s">
        <v>109</v>
      </c>
      <c r="F13" s="16" t="s">
        <v>127</v>
      </c>
      <c r="G13" s="16" t="s">
        <v>128</v>
      </c>
      <c r="H13" s="16" t="s">
        <v>128</v>
      </c>
      <c r="I13" s="10" t="s">
        <v>28</v>
      </c>
      <c r="J13" s="9" t="s">
        <v>112</v>
      </c>
    </row>
    <row r="14" customFormat="false" ht="15" hidden="false" customHeight="false" outlineLevel="0" collapsed="false">
      <c r="A14" s="16" t="s">
        <v>106</v>
      </c>
      <c r="B14" s="16" t="s">
        <v>106</v>
      </c>
      <c r="C14" s="9" t="s">
        <v>107</v>
      </c>
      <c r="D14" s="9" t="s">
        <v>108</v>
      </c>
      <c r="E14" s="9" t="s">
        <v>109</v>
      </c>
      <c r="F14" s="16" t="s">
        <v>129</v>
      </c>
      <c r="G14" s="16" t="s">
        <v>130</v>
      </c>
      <c r="H14" s="16" t="s">
        <v>130</v>
      </c>
      <c r="I14" s="10" t="s">
        <v>28</v>
      </c>
      <c r="J14" s="9" t="s">
        <v>112</v>
      </c>
    </row>
    <row r="15" customFormat="false" ht="15" hidden="false" customHeight="false" outlineLevel="0" collapsed="false">
      <c r="A15" s="16" t="s">
        <v>106</v>
      </c>
      <c r="B15" s="16" t="s">
        <v>106</v>
      </c>
      <c r="C15" s="9" t="s">
        <v>107</v>
      </c>
      <c r="D15" s="9" t="s">
        <v>108</v>
      </c>
      <c r="E15" s="9" t="s">
        <v>109</v>
      </c>
      <c r="F15" s="16" t="s">
        <v>131</v>
      </c>
      <c r="G15" s="16" t="s">
        <v>132</v>
      </c>
      <c r="H15" s="16" t="s">
        <v>132</v>
      </c>
      <c r="I15" s="10" t="s">
        <v>28</v>
      </c>
      <c r="J15" s="9" t="s">
        <v>112</v>
      </c>
    </row>
    <row r="16" customFormat="false" ht="15" hidden="false" customHeight="false" outlineLevel="0" collapsed="false">
      <c r="A16" s="16" t="s">
        <v>106</v>
      </c>
      <c r="B16" s="16" t="s">
        <v>106</v>
      </c>
      <c r="C16" s="9" t="s">
        <v>107</v>
      </c>
      <c r="D16" s="9" t="s">
        <v>108</v>
      </c>
      <c r="E16" s="9" t="s">
        <v>109</v>
      </c>
      <c r="F16" s="16" t="s">
        <v>133</v>
      </c>
      <c r="G16" s="16" t="s">
        <v>134</v>
      </c>
      <c r="H16" s="16" t="s">
        <v>134</v>
      </c>
      <c r="I16" s="10" t="s">
        <v>28</v>
      </c>
      <c r="J16" s="9" t="s">
        <v>112</v>
      </c>
    </row>
    <row r="17" customFormat="false" ht="15" hidden="false" customHeight="false" outlineLevel="0" collapsed="false">
      <c r="A17" s="16" t="s">
        <v>106</v>
      </c>
      <c r="B17" s="16" t="s">
        <v>106</v>
      </c>
      <c r="C17" s="9" t="s">
        <v>107</v>
      </c>
      <c r="D17" s="9" t="s">
        <v>108</v>
      </c>
      <c r="E17" s="9" t="s">
        <v>109</v>
      </c>
      <c r="F17" s="16" t="s">
        <v>135</v>
      </c>
      <c r="G17" s="16" t="s">
        <v>136</v>
      </c>
      <c r="H17" s="16" t="s">
        <v>136</v>
      </c>
      <c r="I17" s="10" t="s">
        <v>28</v>
      </c>
      <c r="J17" s="9" t="s">
        <v>112</v>
      </c>
    </row>
    <row r="18" customFormat="false" ht="15" hidden="false" customHeight="false" outlineLevel="0" collapsed="false">
      <c r="A18" s="16" t="s">
        <v>106</v>
      </c>
      <c r="B18" s="16" t="s">
        <v>106</v>
      </c>
      <c r="C18" s="9" t="s">
        <v>107</v>
      </c>
      <c r="D18" s="9" t="s">
        <v>108</v>
      </c>
      <c r="E18" s="9" t="s">
        <v>109</v>
      </c>
      <c r="F18" s="16" t="s">
        <v>137</v>
      </c>
      <c r="G18" s="16" t="s">
        <v>128</v>
      </c>
      <c r="H18" s="16" t="s">
        <v>128</v>
      </c>
      <c r="I18" s="10" t="s">
        <v>28</v>
      </c>
      <c r="J18" s="9" t="s">
        <v>112</v>
      </c>
    </row>
    <row r="19" customFormat="false" ht="15" hidden="false" customHeight="false" outlineLevel="0" collapsed="false">
      <c r="A19" s="16" t="s">
        <v>106</v>
      </c>
      <c r="B19" s="16" t="s">
        <v>106</v>
      </c>
      <c r="C19" s="9" t="s">
        <v>107</v>
      </c>
      <c r="D19" s="9" t="s">
        <v>108</v>
      </c>
      <c r="E19" s="9" t="s">
        <v>109</v>
      </c>
      <c r="F19" s="16" t="s">
        <v>138</v>
      </c>
      <c r="G19" s="16" t="s">
        <v>139</v>
      </c>
      <c r="H19" s="16" t="s">
        <v>139</v>
      </c>
      <c r="I19" s="10" t="s">
        <v>28</v>
      </c>
      <c r="J19" s="9" t="s">
        <v>112</v>
      </c>
    </row>
    <row r="20" customFormat="false" ht="15" hidden="false" customHeight="false" outlineLevel="0" collapsed="false">
      <c r="A20" s="16" t="s">
        <v>106</v>
      </c>
      <c r="B20" s="16" t="s">
        <v>106</v>
      </c>
      <c r="C20" s="9" t="s">
        <v>107</v>
      </c>
      <c r="D20" s="9" t="s">
        <v>108</v>
      </c>
      <c r="E20" s="9" t="s">
        <v>109</v>
      </c>
      <c r="F20" s="16" t="s">
        <v>140</v>
      </c>
      <c r="G20" s="16" t="s">
        <v>141</v>
      </c>
      <c r="H20" s="16" t="s">
        <v>141</v>
      </c>
      <c r="I20" s="10" t="s">
        <v>28</v>
      </c>
      <c r="J20" s="9" t="s">
        <v>112</v>
      </c>
    </row>
    <row r="21" customFormat="false" ht="15" hidden="false" customHeight="false" outlineLevel="0" collapsed="false">
      <c r="A21" s="16" t="s">
        <v>106</v>
      </c>
      <c r="B21" s="16" t="s">
        <v>106</v>
      </c>
      <c r="C21" s="9" t="s">
        <v>107</v>
      </c>
      <c r="D21" s="9" t="s">
        <v>108</v>
      </c>
      <c r="E21" s="9" t="s">
        <v>109</v>
      </c>
      <c r="F21" s="16" t="s">
        <v>142</v>
      </c>
      <c r="G21" s="16" t="s">
        <v>118</v>
      </c>
      <c r="H21" s="16" t="s">
        <v>118</v>
      </c>
      <c r="I21" s="10" t="s">
        <v>28</v>
      </c>
      <c r="J21" s="9" t="s">
        <v>112</v>
      </c>
    </row>
    <row r="22" customFormat="false" ht="15" hidden="false" customHeight="false" outlineLevel="0" collapsed="false">
      <c r="A22" s="16" t="s">
        <v>106</v>
      </c>
      <c r="B22" s="16" t="s">
        <v>106</v>
      </c>
      <c r="C22" s="9" t="s">
        <v>107</v>
      </c>
      <c r="D22" s="9" t="s">
        <v>108</v>
      </c>
      <c r="E22" s="9" t="s">
        <v>109</v>
      </c>
      <c r="F22" s="16" t="s">
        <v>143</v>
      </c>
      <c r="G22" s="16" t="s">
        <v>111</v>
      </c>
      <c r="H22" s="16" t="s">
        <v>111</v>
      </c>
      <c r="I22" s="10" t="s">
        <v>28</v>
      </c>
      <c r="J22" s="9" t="s">
        <v>112</v>
      </c>
    </row>
    <row r="23" customFormat="false" ht="15" hidden="false" customHeight="false" outlineLevel="0" collapsed="false">
      <c r="A23" s="16" t="s">
        <v>106</v>
      </c>
      <c r="B23" s="16" t="s">
        <v>106</v>
      </c>
      <c r="C23" s="9" t="s">
        <v>107</v>
      </c>
      <c r="D23" s="9" t="s">
        <v>108</v>
      </c>
      <c r="E23" s="9" t="s">
        <v>109</v>
      </c>
      <c r="F23" s="16" t="s">
        <v>144</v>
      </c>
      <c r="G23" s="16" t="s">
        <v>145</v>
      </c>
      <c r="H23" s="16" t="s">
        <v>145</v>
      </c>
      <c r="I23" s="10" t="s">
        <v>28</v>
      </c>
      <c r="J23" s="9" t="s">
        <v>112</v>
      </c>
    </row>
    <row r="24" customFormat="false" ht="15" hidden="false" customHeight="false" outlineLevel="0" collapsed="false">
      <c r="A24" s="16" t="s">
        <v>106</v>
      </c>
      <c r="B24" s="16" t="s">
        <v>106</v>
      </c>
      <c r="C24" s="9" t="s">
        <v>107</v>
      </c>
      <c r="D24" s="9" t="s">
        <v>108</v>
      </c>
      <c r="E24" s="9" t="s">
        <v>109</v>
      </c>
      <c r="F24" s="16" t="s">
        <v>34</v>
      </c>
      <c r="G24" s="16" t="s">
        <v>128</v>
      </c>
      <c r="H24" s="16" t="s">
        <v>128</v>
      </c>
      <c r="I24" s="10" t="s">
        <v>28</v>
      </c>
      <c r="J24" s="9" t="s">
        <v>112</v>
      </c>
    </row>
    <row r="25" customFormat="false" ht="15" hidden="false" customHeight="false" outlineLevel="0" collapsed="false">
      <c r="A25" s="16" t="s">
        <v>106</v>
      </c>
      <c r="B25" s="16" t="s">
        <v>106</v>
      </c>
      <c r="C25" s="9" t="s">
        <v>107</v>
      </c>
      <c r="D25" s="9" t="s">
        <v>108</v>
      </c>
      <c r="E25" s="9" t="s">
        <v>109</v>
      </c>
      <c r="F25" s="16" t="s">
        <v>146</v>
      </c>
      <c r="G25" s="16" t="s">
        <v>111</v>
      </c>
      <c r="H25" s="16" t="s">
        <v>111</v>
      </c>
      <c r="I25" s="10" t="s">
        <v>28</v>
      </c>
      <c r="J25" s="9" t="s">
        <v>112</v>
      </c>
    </row>
    <row r="26" customFormat="false" ht="15" hidden="false" customHeight="false" outlineLevel="0" collapsed="false">
      <c r="A26" s="16" t="s">
        <v>106</v>
      </c>
      <c r="B26" s="16" t="s">
        <v>106</v>
      </c>
      <c r="C26" s="9" t="s">
        <v>107</v>
      </c>
      <c r="D26" s="9" t="s">
        <v>108</v>
      </c>
      <c r="E26" s="9" t="s">
        <v>109</v>
      </c>
      <c r="F26" s="16" t="s">
        <v>147</v>
      </c>
      <c r="G26" s="16" t="s">
        <v>141</v>
      </c>
      <c r="H26" s="16" t="s">
        <v>141</v>
      </c>
      <c r="I26" s="10" t="s">
        <v>28</v>
      </c>
      <c r="J26" s="9" t="s">
        <v>112</v>
      </c>
    </row>
    <row r="27" customFormat="false" ht="15" hidden="false" customHeight="false" outlineLevel="0" collapsed="false">
      <c r="A27" s="16" t="s">
        <v>106</v>
      </c>
      <c r="B27" s="16" t="s">
        <v>106</v>
      </c>
      <c r="C27" s="9" t="s">
        <v>107</v>
      </c>
      <c r="D27" s="9" t="s">
        <v>108</v>
      </c>
      <c r="E27" s="9" t="s">
        <v>109</v>
      </c>
      <c r="F27" s="16" t="s">
        <v>148</v>
      </c>
      <c r="G27" s="16" t="s">
        <v>149</v>
      </c>
      <c r="H27" s="16" t="s">
        <v>149</v>
      </c>
      <c r="I27" s="10" t="s">
        <v>28</v>
      </c>
      <c r="J27" s="9" t="s">
        <v>112</v>
      </c>
    </row>
    <row r="28" customFormat="false" ht="15" hidden="false" customHeight="false" outlineLevel="0" collapsed="false">
      <c r="A28" s="16" t="s">
        <v>106</v>
      </c>
      <c r="B28" s="16" t="s">
        <v>106</v>
      </c>
      <c r="C28" s="9" t="s">
        <v>107</v>
      </c>
      <c r="D28" s="9" t="s">
        <v>108</v>
      </c>
      <c r="E28" s="9" t="s">
        <v>109</v>
      </c>
      <c r="F28" s="16" t="s">
        <v>150</v>
      </c>
      <c r="G28" s="16" t="s">
        <v>151</v>
      </c>
      <c r="H28" s="16" t="s">
        <v>151</v>
      </c>
      <c r="I28" s="10" t="s">
        <v>28</v>
      </c>
      <c r="J28" s="9" t="s">
        <v>112</v>
      </c>
    </row>
    <row r="29" customFormat="false" ht="15" hidden="false" customHeight="false" outlineLevel="0" collapsed="false">
      <c r="A29" s="16" t="s">
        <v>106</v>
      </c>
      <c r="B29" s="16" t="s">
        <v>106</v>
      </c>
      <c r="C29" s="9" t="s">
        <v>107</v>
      </c>
      <c r="D29" s="9" t="s">
        <v>108</v>
      </c>
      <c r="E29" s="9" t="s">
        <v>109</v>
      </c>
      <c r="F29" s="16" t="s">
        <v>152</v>
      </c>
      <c r="G29" s="16" t="s">
        <v>153</v>
      </c>
      <c r="H29" s="16" t="s">
        <v>153</v>
      </c>
      <c r="I29" s="10" t="s">
        <v>28</v>
      </c>
      <c r="J29" s="9" t="s">
        <v>112</v>
      </c>
    </row>
    <row r="30" customFormat="false" ht="15" hidden="false" customHeight="false" outlineLevel="0" collapsed="false">
      <c r="A30" s="16" t="s">
        <v>106</v>
      </c>
      <c r="B30" s="16" t="s">
        <v>106</v>
      </c>
      <c r="C30" s="9" t="s">
        <v>107</v>
      </c>
      <c r="D30" s="9" t="s">
        <v>108</v>
      </c>
      <c r="E30" s="9" t="s">
        <v>109</v>
      </c>
      <c r="F30" s="16" t="s">
        <v>154</v>
      </c>
      <c r="G30" s="16" t="s">
        <v>155</v>
      </c>
      <c r="H30" s="16" t="s">
        <v>155</v>
      </c>
      <c r="I30" s="10" t="s">
        <v>28</v>
      </c>
      <c r="J30" s="9" t="s">
        <v>112</v>
      </c>
    </row>
    <row r="31" customFormat="false" ht="15" hidden="false" customHeight="false" outlineLevel="0" collapsed="false">
      <c r="A31" s="16" t="s">
        <v>106</v>
      </c>
      <c r="B31" s="16" t="s">
        <v>106</v>
      </c>
      <c r="C31" s="9" t="s">
        <v>107</v>
      </c>
      <c r="D31" s="9" t="s">
        <v>108</v>
      </c>
      <c r="E31" s="9" t="s">
        <v>109</v>
      </c>
      <c r="F31" s="16" t="s">
        <v>156</v>
      </c>
      <c r="G31" s="16" t="s">
        <v>128</v>
      </c>
      <c r="H31" s="16" t="s">
        <v>128</v>
      </c>
      <c r="I31" s="10" t="s">
        <v>28</v>
      </c>
      <c r="J31" s="9" t="s">
        <v>112</v>
      </c>
    </row>
    <row r="32" customFormat="false" ht="15" hidden="false" customHeight="false" outlineLevel="0" collapsed="false">
      <c r="A32" s="16" t="s">
        <v>106</v>
      </c>
      <c r="B32" s="16" t="s">
        <v>106</v>
      </c>
      <c r="C32" s="9" t="s">
        <v>107</v>
      </c>
      <c r="D32" s="9" t="s">
        <v>108</v>
      </c>
      <c r="E32" s="9" t="s">
        <v>109</v>
      </c>
      <c r="F32" s="16" t="s">
        <v>157</v>
      </c>
      <c r="G32" s="16" t="s">
        <v>158</v>
      </c>
      <c r="H32" s="16" t="s">
        <v>158</v>
      </c>
      <c r="I32" s="10" t="s">
        <v>28</v>
      </c>
      <c r="J32" s="9" t="s">
        <v>112</v>
      </c>
    </row>
    <row r="33" customFormat="false" ht="15" hidden="false" customHeight="false" outlineLevel="0" collapsed="false">
      <c r="A33" s="16" t="s">
        <v>106</v>
      </c>
      <c r="B33" s="16" t="s">
        <v>106</v>
      </c>
      <c r="C33" s="9" t="s">
        <v>107</v>
      </c>
      <c r="D33" s="9" t="s">
        <v>108</v>
      </c>
      <c r="E33" s="9" t="s">
        <v>109</v>
      </c>
      <c r="F33" s="16" t="s">
        <v>159</v>
      </c>
      <c r="G33" s="16" t="s">
        <v>160</v>
      </c>
      <c r="H33" s="16" t="s">
        <v>160</v>
      </c>
      <c r="I33" s="10" t="s">
        <v>28</v>
      </c>
      <c r="J33" s="9" t="s">
        <v>112</v>
      </c>
    </row>
    <row r="34" customFormat="false" ht="15" hidden="false" customHeight="false" outlineLevel="0" collapsed="false">
      <c r="A34" s="16" t="s">
        <v>106</v>
      </c>
      <c r="B34" s="16" t="s">
        <v>106</v>
      </c>
      <c r="C34" s="9" t="s">
        <v>107</v>
      </c>
      <c r="D34" s="9" t="s">
        <v>108</v>
      </c>
      <c r="E34" s="9" t="s">
        <v>109</v>
      </c>
      <c r="F34" s="16" t="s">
        <v>161</v>
      </c>
      <c r="G34" s="16" t="s">
        <v>162</v>
      </c>
      <c r="H34" s="16" t="s">
        <v>162</v>
      </c>
      <c r="I34" s="10" t="s">
        <v>28</v>
      </c>
      <c r="J34" s="9" t="s">
        <v>112</v>
      </c>
    </row>
    <row r="35" customFormat="false" ht="15" hidden="false" customHeight="false" outlineLevel="0" collapsed="false">
      <c r="A35" s="16" t="s">
        <v>106</v>
      </c>
      <c r="B35" s="16" t="s">
        <v>106</v>
      </c>
      <c r="C35" s="9" t="s">
        <v>107</v>
      </c>
      <c r="D35" s="9" t="s">
        <v>108</v>
      </c>
      <c r="E35" s="9" t="s">
        <v>109</v>
      </c>
      <c r="F35" s="16" t="s">
        <v>163</v>
      </c>
      <c r="G35" s="16" t="s">
        <v>164</v>
      </c>
      <c r="H35" s="16" t="s">
        <v>164</v>
      </c>
      <c r="I35" s="10" t="s">
        <v>28</v>
      </c>
      <c r="J35" s="9" t="s">
        <v>112</v>
      </c>
    </row>
    <row r="36" customFormat="false" ht="15" hidden="false" customHeight="false" outlineLevel="0" collapsed="false">
      <c r="A36" s="16" t="s">
        <v>106</v>
      </c>
      <c r="B36" s="16" t="s">
        <v>106</v>
      </c>
      <c r="C36" s="9" t="s">
        <v>107</v>
      </c>
      <c r="D36" s="9" t="s">
        <v>108</v>
      </c>
      <c r="E36" s="9" t="s">
        <v>109</v>
      </c>
      <c r="F36" s="16" t="s">
        <v>165</v>
      </c>
      <c r="G36" s="16" t="s">
        <v>166</v>
      </c>
      <c r="H36" s="16" t="s">
        <v>166</v>
      </c>
      <c r="I36" s="10" t="s">
        <v>28</v>
      </c>
      <c r="J36" s="9" t="s">
        <v>112</v>
      </c>
    </row>
    <row r="37" customFormat="false" ht="15" hidden="false" customHeight="false" outlineLevel="0" collapsed="false">
      <c r="A37" s="16" t="s">
        <v>106</v>
      </c>
      <c r="B37" s="16" t="s">
        <v>106</v>
      </c>
      <c r="C37" s="9" t="s">
        <v>107</v>
      </c>
      <c r="D37" s="9" t="s">
        <v>108</v>
      </c>
      <c r="E37" s="9" t="s">
        <v>109</v>
      </c>
      <c r="F37" s="16" t="s">
        <v>167</v>
      </c>
      <c r="G37" s="16" t="s">
        <v>164</v>
      </c>
      <c r="H37" s="16" t="s">
        <v>164</v>
      </c>
      <c r="I37" s="10" t="s">
        <v>28</v>
      </c>
      <c r="J37" s="9" t="s">
        <v>112</v>
      </c>
    </row>
    <row r="38" customFormat="false" ht="15" hidden="false" customHeight="false" outlineLevel="0" collapsed="false">
      <c r="A38" s="16" t="s">
        <v>106</v>
      </c>
      <c r="B38" s="16" t="s">
        <v>106</v>
      </c>
      <c r="C38" s="9" t="s">
        <v>107</v>
      </c>
      <c r="D38" s="9" t="s">
        <v>108</v>
      </c>
      <c r="E38" s="9" t="s">
        <v>109</v>
      </c>
      <c r="F38" s="16" t="s">
        <v>168</v>
      </c>
      <c r="G38" s="16" t="s">
        <v>111</v>
      </c>
      <c r="H38" s="16" t="s">
        <v>111</v>
      </c>
      <c r="I38" s="10" t="s">
        <v>28</v>
      </c>
      <c r="J38" s="9" t="s">
        <v>112</v>
      </c>
    </row>
    <row r="39" customFormat="false" ht="15" hidden="false" customHeight="false" outlineLevel="0" collapsed="false">
      <c r="A39" s="16" t="s">
        <v>106</v>
      </c>
      <c r="B39" s="16" t="s">
        <v>106</v>
      </c>
      <c r="C39" s="9" t="s">
        <v>107</v>
      </c>
      <c r="D39" s="9" t="s">
        <v>108</v>
      </c>
      <c r="E39" s="9" t="s">
        <v>109</v>
      </c>
      <c r="F39" s="16" t="s">
        <v>169</v>
      </c>
      <c r="G39" s="16" t="s">
        <v>170</v>
      </c>
      <c r="H39" s="16" t="s">
        <v>170</v>
      </c>
      <c r="I39" s="10" t="s">
        <v>28</v>
      </c>
      <c r="J39" s="9" t="s">
        <v>112</v>
      </c>
    </row>
    <row r="40" customFormat="false" ht="15" hidden="false" customHeight="false" outlineLevel="0" collapsed="false">
      <c r="A40" s="16" t="s">
        <v>106</v>
      </c>
      <c r="B40" s="16" t="s">
        <v>106</v>
      </c>
      <c r="C40" s="9" t="s">
        <v>107</v>
      </c>
      <c r="D40" s="9" t="s">
        <v>108</v>
      </c>
      <c r="E40" s="9" t="s">
        <v>109</v>
      </c>
      <c r="F40" s="16" t="s">
        <v>171</v>
      </c>
      <c r="G40" s="16" t="s">
        <v>172</v>
      </c>
      <c r="H40" s="16" t="s">
        <v>172</v>
      </c>
      <c r="I40" s="10" t="s">
        <v>28</v>
      </c>
      <c r="J40" s="9" t="s">
        <v>112</v>
      </c>
    </row>
    <row r="41" customFormat="false" ht="15" hidden="false" customHeight="false" outlineLevel="0" collapsed="false">
      <c r="A41" s="16" t="s">
        <v>106</v>
      </c>
      <c r="B41" s="16" t="s">
        <v>106</v>
      </c>
      <c r="C41" s="9" t="s">
        <v>107</v>
      </c>
      <c r="D41" s="9" t="s">
        <v>108</v>
      </c>
      <c r="E41" s="9" t="s">
        <v>109</v>
      </c>
      <c r="F41" s="16" t="s">
        <v>173</v>
      </c>
      <c r="G41" s="16" t="s">
        <v>174</v>
      </c>
      <c r="H41" s="16" t="s">
        <v>174</v>
      </c>
      <c r="I41" s="10" t="s">
        <v>28</v>
      </c>
      <c r="J41" s="9" t="s">
        <v>112</v>
      </c>
    </row>
    <row r="42" customFormat="false" ht="15" hidden="false" customHeight="false" outlineLevel="0" collapsed="false">
      <c r="A42" s="16" t="s">
        <v>106</v>
      </c>
      <c r="B42" s="16" t="s">
        <v>106</v>
      </c>
      <c r="C42" s="9" t="s">
        <v>107</v>
      </c>
      <c r="D42" s="9" t="s">
        <v>108</v>
      </c>
      <c r="E42" s="9" t="s">
        <v>109</v>
      </c>
      <c r="F42" s="16" t="s">
        <v>175</v>
      </c>
      <c r="G42" s="16" t="s">
        <v>136</v>
      </c>
      <c r="H42" s="16" t="s">
        <v>136</v>
      </c>
      <c r="I42" s="10" t="s">
        <v>28</v>
      </c>
      <c r="J42" s="9" t="s">
        <v>112</v>
      </c>
    </row>
    <row r="43" customFormat="false" ht="15" hidden="false" customHeight="false" outlineLevel="0" collapsed="false">
      <c r="A43" s="16" t="s">
        <v>106</v>
      </c>
      <c r="B43" s="16" t="s">
        <v>106</v>
      </c>
      <c r="C43" s="9" t="s">
        <v>107</v>
      </c>
      <c r="D43" s="9" t="s">
        <v>108</v>
      </c>
      <c r="E43" s="9" t="s">
        <v>109</v>
      </c>
      <c r="F43" s="16" t="s">
        <v>176</v>
      </c>
      <c r="G43" s="16" t="s">
        <v>151</v>
      </c>
      <c r="H43" s="16" t="s">
        <v>151</v>
      </c>
      <c r="I43" s="10" t="s">
        <v>28</v>
      </c>
      <c r="J43" s="9" t="s">
        <v>112</v>
      </c>
    </row>
    <row r="44" customFormat="false" ht="15" hidden="false" customHeight="false" outlineLevel="0" collapsed="false">
      <c r="A44" s="16" t="s">
        <v>106</v>
      </c>
      <c r="B44" s="16" t="s">
        <v>106</v>
      </c>
      <c r="C44" s="9" t="s">
        <v>107</v>
      </c>
      <c r="D44" s="9" t="s">
        <v>108</v>
      </c>
      <c r="E44" s="9" t="s">
        <v>109</v>
      </c>
      <c r="F44" s="16" t="s">
        <v>177</v>
      </c>
      <c r="G44" s="16" t="s">
        <v>178</v>
      </c>
      <c r="H44" s="16" t="s">
        <v>178</v>
      </c>
      <c r="I44" s="10" t="s">
        <v>28</v>
      </c>
      <c r="J44" s="9" t="s">
        <v>112</v>
      </c>
    </row>
    <row r="45" customFormat="false" ht="15" hidden="false" customHeight="false" outlineLevel="0" collapsed="false">
      <c r="A45" s="16" t="s">
        <v>106</v>
      </c>
      <c r="B45" s="16" t="s">
        <v>106</v>
      </c>
      <c r="C45" s="9" t="s">
        <v>107</v>
      </c>
      <c r="D45" s="9" t="s">
        <v>108</v>
      </c>
      <c r="E45" s="9" t="s">
        <v>109</v>
      </c>
      <c r="F45" s="16" t="s">
        <v>179</v>
      </c>
      <c r="G45" s="16" t="s">
        <v>180</v>
      </c>
      <c r="H45" s="16" t="s">
        <v>180</v>
      </c>
      <c r="I45" s="10" t="s">
        <v>28</v>
      </c>
      <c r="J45" s="9" t="s">
        <v>112</v>
      </c>
    </row>
    <row r="46" customFormat="false" ht="15" hidden="false" customHeight="false" outlineLevel="0" collapsed="false">
      <c r="A46" s="16" t="s">
        <v>106</v>
      </c>
      <c r="B46" s="16" t="s">
        <v>106</v>
      </c>
      <c r="C46" s="9" t="s">
        <v>107</v>
      </c>
      <c r="D46" s="9" t="s">
        <v>108</v>
      </c>
      <c r="E46" s="9" t="s">
        <v>109</v>
      </c>
      <c r="F46" s="16" t="s">
        <v>181</v>
      </c>
      <c r="G46" s="16" t="s">
        <v>182</v>
      </c>
      <c r="H46" s="16" t="s">
        <v>182</v>
      </c>
      <c r="I46" s="10" t="s">
        <v>28</v>
      </c>
      <c r="J46" s="9" t="s">
        <v>112</v>
      </c>
    </row>
    <row r="47" customFormat="false" ht="15" hidden="false" customHeight="false" outlineLevel="0" collapsed="false">
      <c r="A47" s="16" t="s">
        <v>106</v>
      </c>
      <c r="B47" s="16" t="s">
        <v>106</v>
      </c>
      <c r="C47" s="9" t="s">
        <v>107</v>
      </c>
      <c r="D47" s="9" t="s">
        <v>108</v>
      </c>
      <c r="E47" s="9" t="s">
        <v>109</v>
      </c>
      <c r="F47" s="16" t="s">
        <v>183</v>
      </c>
      <c r="G47" s="16" t="s">
        <v>111</v>
      </c>
      <c r="H47" s="16" t="s">
        <v>111</v>
      </c>
      <c r="I47" s="10" t="s">
        <v>28</v>
      </c>
      <c r="J47" s="9" t="s">
        <v>112</v>
      </c>
    </row>
    <row r="48" customFormat="false" ht="15" hidden="false" customHeight="false" outlineLevel="0" collapsed="false">
      <c r="A48" s="16" t="s">
        <v>106</v>
      </c>
      <c r="B48" s="16" t="s">
        <v>106</v>
      </c>
      <c r="C48" s="9" t="s">
        <v>107</v>
      </c>
      <c r="D48" s="9" t="s">
        <v>108</v>
      </c>
      <c r="E48" s="9" t="s">
        <v>109</v>
      </c>
      <c r="F48" s="16" t="s">
        <v>184</v>
      </c>
      <c r="G48" s="16" t="s">
        <v>185</v>
      </c>
      <c r="H48" s="16" t="s">
        <v>185</v>
      </c>
      <c r="I48" s="10" t="s">
        <v>28</v>
      </c>
      <c r="J48" s="9" t="s">
        <v>112</v>
      </c>
    </row>
    <row r="49" customFormat="false" ht="15" hidden="false" customHeight="false" outlineLevel="0" collapsed="false">
      <c r="A49" s="16" t="s">
        <v>106</v>
      </c>
      <c r="B49" s="16" t="s">
        <v>106</v>
      </c>
      <c r="C49" s="9" t="s">
        <v>107</v>
      </c>
      <c r="D49" s="9" t="s">
        <v>108</v>
      </c>
      <c r="E49" s="9" t="s">
        <v>109</v>
      </c>
      <c r="F49" s="16" t="s">
        <v>186</v>
      </c>
      <c r="G49" s="16" t="s">
        <v>187</v>
      </c>
      <c r="H49" s="16" t="s">
        <v>187</v>
      </c>
      <c r="I49" s="10" t="s">
        <v>28</v>
      </c>
      <c r="J49" s="9" t="s">
        <v>112</v>
      </c>
    </row>
    <row r="50" customFormat="false" ht="15" hidden="false" customHeight="false" outlineLevel="0" collapsed="false">
      <c r="A50" s="16" t="s">
        <v>106</v>
      </c>
      <c r="B50" s="16" t="s">
        <v>106</v>
      </c>
      <c r="C50" s="9" t="s">
        <v>107</v>
      </c>
      <c r="D50" s="9" t="s">
        <v>108</v>
      </c>
      <c r="E50" s="9" t="s">
        <v>109</v>
      </c>
      <c r="F50" s="16" t="s">
        <v>188</v>
      </c>
      <c r="G50" s="16" t="s">
        <v>189</v>
      </c>
      <c r="H50" s="16" t="s">
        <v>189</v>
      </c>
      <c r="I50" s="10" t="s">
        <v>28</v>
      </c>
      <c r="J50" s="9" t="s">
        <v>112</v>
      </c>
    </row>
    <row r="51" customFormat="false" ht="15" hidden="false" customHeight="false" outlineLevel="0" collapsed="false">
      <c r="A51" s="16" t="s">
        <v>106</v>
      </c>
      <c r="B51" s="16" t="s">
        <v>106</v>
      </c>
      <c r="C51" s="9" t="s">
        <v>107</v>
      </c>
      <c r="D51" s="9" t="s">
        <v>108</v>
      </c>
      <c r="E51" s="9" t="s">
        <v>109</v>
      </c>
      <c r="F51" s="16" t="s">
        <v>190</v>
      </c>
      <c r="G51" s="16" t="s">
        <v>191</v>
      </c>
      <c r="H51" s="16" t="s">
        <v>191</v>
      </c>
      <c r="I51" s="10" t="s">
        <v>28</v>
      </c>
      <c r="J51" s="9" t="s">
        <v>112</v>
      </c>
    </row>
    <row r="52" customFormat="false" ht="15" hidden="false" customHeight="false" outlineLevel="0" collapsed="false">
      <c r="A52" s="16" t="s">
        <v>106</v>
      </c>
      <c r="B52" s="16" t="s">
        <v>106</v>
      </c>
      <c r="C52" s="9" t="s">
        <v>107</v>
      </c>
      <c r="D52" s="9" t="s">
        <v>108</v>
      </c>
      <c r="E52" s="9" t="s">
        <v>109</v>
      </c>
      <c r="F52" s="16" t="s">
        <v>192</v>
      </c>
      <c r="G52" s="16" t="s">
        <v>149</v>
      </c>
      <c r="H52" s="16" t="s">
        <v>149</v>
      </c>
      <c r="I52" s="10" t="s">
        <v>28</v>
      </c>
      <c r="J52" s="9" t="s">
        <v>112</v>
      </c>
    </row>
    <row r="53" customFormat="false" ht="15" hidden="false" customHeight="false" outlineLevel="0" collapsed="false">
      <c r="A53" s="16" t="s">
        <v>106</v>
      </c>
      <c r="B53" s="16" t="s">
        <v>106</v>
      </c>
      <c r="C53" s="9" t="s">
        <v>107</v>
      </c>
      <c r="D53" s="9" t="s">
        <v>108</v>
      </c>
      <c r="E53" s="9" t="s">
        <v>109</v>
      </c>
      <c r="F53" s="16" t="s">
        <v>193</v>
      </c>
      <c r="G53" s="16" t="s">
        <v>120</v>
      </c>
      <c r="H53" s="16" t="s">
        <v>120</v>
      </c>
      <c r="I53" s="10" t="s">
        <v>28</v>
      </c>
      <c r="J53" s="9" t="s">
        <v>112</v>
      </c>
    </row>
    <row r="54" customFormat="false" ht="15" hidden="false" customHeight="false" outlineLevel="0" collapsed="false">
      <c r="A54" s="16" t="s">
        <v>106</v>
      </c>
      <c r="B54" s="16" t="s">
        <v>106</v>
      </c>
      <c r="C54" s="9" t="s">
        <v>107</v>
      </c>
      <c r="D54" s="9" t="s">
        <v>108</v>
      </c>
      <c r="E54" s="9" t="s">
        <v>109</v>
      </c>
      <c r="F54" s="16" t="s">
        <v>194</v>
      </c>
      <c r="G54" s="16" t="s">
        <v>195</v>
      </c>
      <c r="H54" s="16" t="s">
        <v>195</v>
      </c>
      <c r="I54" s="10" t="s">
        <v>28</v>
      </c>
      <c r="J54" s="9" t="s">
        <v>112</v>
      </c>
    </row>
    <row r="55" customFormat="false" ht="15" hidden="false" customHeight="false" outlineLevel="0" collapsed="false">
      <c r="A55" s="16" t="s">
        <v>106</v>
      </c>
      <c r="B55" s="16" t="s">
        <v>106</v>
      </c>
      <c r="C55" s="9" t="s">
        <v>107</v>
      </c>
      <c r="D55" s="9" t="s">
        <v>108</v>
      </c>
      <c r="E55" s="9" t="s">
        <v>109</v>
      </c>
      <c r="F55" s="16" t="s">
        <v>196</v>
      </c>
      <c r="G55" s="16" t="s">
        <v>164</v>
      </c>
      <c r="H55" s="16" t="s">
        <v>164</v>
      </c>
      <c r="I55" s="10" t="s">
        <v>28</v>
      </c>
      <c r="J55" s="9" t="s">
        <v>112</v>
      </c>
    </row>
    <row r="56" customFormat="false" ht="15" hidden="false" customHeight="false" outlineLevel="0" collapsed="false">
      <c r="A56" s="16" t="s">
        <v>106</v>
      </c>
      <c r="B56" s="16" t="s">
        <v>106</v>
      </c>
      <c r="C56" s="9" t="s">
        <v>107</v>
      </c>
      <c r="D56" s="9" t="s">
        <v>108</v>
      </c>
      <c r="E56" s="9" t="s">
        <v>109</v>
      </c>
      <c r="F56" s="16" t="s">
        <v>197</v>
      </c>
      <c r="G56" s="16" t="s">
        <v>182</v>
      </c>
      <c r="H56" s="16" t="s">
        <v>182</v>
      </c>
      <c r="I56" s="10" t="s">
        <v>28</v>
      </c>
      <c r="J56" s="9" t="s">
        <v>112</v>
      </c>
    </row>
    <row r="57" customFormat="false" ht="15" hidden="false" customHeight="false" outlineLevel="0" collapsed="false">
      <c r="A57" s="16" t="s">
        <v>106</v>
      </c>
      <c r="B57" s="16" t="s">
        <v>106</v>
      </c>
      <c r="C57" s="9" t="s">
        <v>107</v>
      </c>
      <c r="D57" s="9" t="s">
        <v>198</v>
      </c>
      <c r="E57" s="9" t="s">
        <v>199</v>
      </c>
      <c r="F57" s="16" t="s">
        <v>200</v>
      </c>
      <c r="G57" s="16" t="s">
        <v>120</v>
      </c>
      <c r="H57" s="16" t="s">
        <v>120</v>
      </c>
      <c r="I57" s="10" t="s">
        <v>28</v>
      </c>
      <c r="J57" s="9" t="s">
        <v>112</v>
      </c>
    </row>
    <row r="58" customFormat="false" ht="15" hidden="false" customHeight="false" outlineLevel="0" collapsed="false">
      <c r="A58" s="16" t="s">
        <v>106</v>
      </c>
      <c r="B58" s="16" t="s">
        <v>106</v>
      </c>
      <c r="C58" s="9" t="s">
        <v>107</v>
      </c>
      <c r="D58" s="9" t="s">
        <v>198</v>
      </c>
      <c r="E58" s="9" t="s">
        <v>199</v>
      </c>
      <c r="F58" s="16" t="s">
        <v>201</v>
      </c>
      <c r="G58" s="16" t="s">
        <v>136</v>
      </c>
      <c r="H58" s="16" t="s">
        <v>136</v>
      </c>
      <c r="I58" s="10" t="s">
        <v>28</v>
      </c>
      <c r="J58" s="9" t="s">
        <v>112</v>
      </c>
    </row>
    <row r="59" customFormat="false" ht="15" hidden="false" customHeight="false" outlineLevel="0" collapsed="false">
      <c r="A59" s="16" t="s">
        <v>106</v>
      </c>
      <c r="B59" s="16" t="s">
        <v>106</v>
      </c>
      <c r="C59" s="9" t="s">
        <v>107</v>
      </c>
      <c r="D59" s="9" t="s">
        <v>198</v>
      </c>
      <c r="E59" s="9" t="s">
        <v>199</v>
      </c>
      <c r="F59" s="16" t="s">
        <v>202</v>
      </c>
      <c r="G59" s="16" t="s">
        <v>120</v>
      </c>
      <c r="H59" s="16" t="s">
        <v>120</v>
      </c>
      <c r="I59" s="10" t="s">
        <v>28</v>
      </c>
      <c r="J59" s="9" t="s">
        <v>112</v>
      </c>
    </row>
    <row r="60" customFormat="false" ht="15" hidden="false" customHeight="false" outlineLevel="0" collapsed="false">
      <c r="A60" s="16" t="s">
        <v>106</v>
      </c>
      <c r="B60" s="16" t="s">
        <v>106</v>
      </c>
      <c r="C60" s="9" t="s">
        <v>107</v>
      </c>
      <c r="D60" s="9" t="s">
        <v>198</v>
      </c>
      <c r="E60" s="9" t="s">
        <v>199</v>
      </c>
      <c r="F60" s="16" t="s">
        <v>183</v>
      </c>
      <c r="G60" s="16" t="s">
        <v>111</v>
      </c>
      <c r="H60" s="16" t="s">
        <v>111</v>
      </c>
      <c r="I60" s="10" t="s">
        <v>28</v>
      </c>
      <c r="J60" s="9" t="s">
        <v>112</v>
      </c>
    </row>
    <row r="61" customFormat="false" ht="15" hidden="false" customHeight="false" outlineLevel="0" collapsed="false">
      <c r="A61" s="16" t="s">
        <v>203</v>
      </c>
      <c r="B61" s="16" t="s">
        <v>203</v>
      </c>
      <c r="C61" s="9" t="s">
        <v>204</v>
      </c>
      <c r="D61" s="9" t="s">
        <v>108</v>
      </c>
      <c r="E61" s="9" t="s">
        <v>109</v>
      </c>
      <c r="F61" s="16" t="s">
        <v>110</v>
      </c>
      <c r="G61" s="16" t="s">
        <v>151</v>
      </c>
      <c r="H61" s="16" t="s">
        <v>151</v>
      </c>
      <c r="I61" s="10" t="s">
        <v>28</v>
      </c>
      <c r="J61" s="9" t="s">
        <v>112</v>
      </c>
    </row>
    <row r="62" customFormat="false" ht="15" hidden="false" customHeight="false" outlineLevel="0" collapsed="false">
      <c r="A62" s="16" t="s">
        <v>205</v>
      </c>
      <c r="B62" s="16" t="s">
        <v>205</v>
      </c>
      <c r="C62" s="9" t="s">
        <v>204</v>
      </c>
      <c r="D62" s="9" t="s">
        <v>108</v>
      </c>
      <c r="E62" s="9" t="s">
        <v>109</v>
      </c>
      <c r="F62" s="16" t="s">
        <v>150</v>
      </c>
      <c r="G62" s="16" t="s">
        <v>111</v>
      </c>
      <c r="H62" s="16" t="s">
        <v>111</v>
      </c>
      <c r="I62" s="10" t="s">
        <v>28</v>
      </c>
      <c r="J62" s="9" t="s">
        <v>112</v>
      </c>
    </row>
    <row r="63" customFormat="false" ht="15" hidden="false" customHeight="false" outlineLevel="0" collapsed="false">
      <c r="A63" s="16" t="s">
        <v>205</v>
      </c>
      <c r="B63" s="16" t="s">
        <v>205</v>
      </c>
      <c r="C63" s="9" t="s">
        <v>204</v>
      </c>
      <c r="D63" s="9" t="s">
        <v>108</v>
      </c>
      <c r="E63" s="9" t="s">
        <v>109</v>
      </c>
      <c r="F63" s="16" t="s">
        <v>176</v>
      </c>
      <c r="G63" s="16" t="s">
        <v>120</v>
      </c>
      <c r="H63" s="16" t="s">
        <v>120</v>
      </c>
      <c r="I63" s="10" t="s">
        <v>28</v>
      </c>
      <c r="J63" s="9" t="s">
        <v>112</v>
      </c>
    </row>
    <row r="64" customFormat="false" ht="15" hidden="false" customHeight="false" outlineLevel="0" collapsed="false">
      <c r="A64" s="16" t="s">
        <v>205</v>
      </c>
      <c r="B64" s="16" t="s">
        <v>205</v>
      </c>
      <c r="C64" s="9" t="s">
        <v>204</v>
      </c>
      <c r="D64" s="9" t="s">
        <v>198</v>
      </c>
      <c r="E64" s="9" t="s">
        <v>199</v>
      </c>
      <c r="F64" s="16" t="s">
        <v>150</v>
      </c>
      <c r="G64" s="16" t="s">
        <v>111</v>
      </c>
      <c r="H64" s="16" t="s">
        <v>111</v>
      </c>
      <c r="I64" s="10" t="s">
        <v>28</v>
      </c>
      <c r="J64" s="9" t="s">
        <v>112</v>
      </c>
    </row>
    <row r="65" customFormat="false" ht="15" hidden="false" customHeight="false" outlineLevel="0" collapsed="false">
      <c r="A65" s="16" t="s">
        <v>206</v>
      </c>
      <c r="B65" s="16" t="s">
        <v>206</v>
      </c>
      <c r="C65" s="9" t="s">
        <v>204</v>
      </c>
      <c r="D65" s="9" t="s">
        <v>108</v>
      </c>
      <c r="E65" s="9" t="s">
        <v>109</v>
      </c>
      <c r="F65" s="16" t="s">
        <v>207</v>
      </c>
      <c r="G65" s="16" t="s">
        <v>120</v>
      </c>
      <c r="H65" s="16" t="s">
        <v>120</v>
      </c>
      <c r="I65" s="10" t="s">
        <v>28</v>
      </c>
      <c r="J65" s="9" t="s">
        <v>112</v>
      </c>
    </row>
    <row r="66" customFormat="false" ht="15" hidden="false" customHeight="false" outlineLevel="0" collapsed="false">
      <c r="A66" s="16" t="s">
        <v>206</v>
      </c>
      <c r="B66" s="16" t="s">
        <v>206</v>
      </c>
      <c r="C66" s="9" t="s">
        <v>204</v>
      </c>
      <c r="D66" s="9" t="s">
        <v>108</v>
      </c>
      <c r="E66" s="9" t="s">
        <v>109</v>
      </c>
      <c r="F66" s="16" t="s">
        <v>115</v>
      </c>
      <c r="G66" s="16" t="s">
        <v>120</v>
      </c>
      <c r="H66" s="16" t="s">
        <v>120</v>
      </c>
      <c r="I66" s="10" t="s">
        <v>28</v>
      </c>
      <c r="J66" s="9" t="s">
        <v>112</v>
      </c>
    </row>
    <row r="67" customFormat="false" ht="15" hidden="false" customHeight="false" outlineLevel="0" collapsed="false">
      <c r="A67" s="16" t="s">
        <v>206</v>
      </c>
      <c r="B67" s="16" t="s">
        <v>206</v>
      </c>
      <c r="C67" s="9" t="s">
        <v>204</v>
      </c>
      <c r="D67" s="9" t="s">
        <v>108</v>
      </c>
      <c r="E67" s="9" t="s">
        <v>109</v>
      </c>
      <c r="F67" s="16" t="s">
        <v>208</v>
      </c>
      <c r="G67" s="16" t="s">
        <v>111</v>
      </c>
      <c r="H67" s="16" t="s">
        <v>111</v>
      </c>
      <c r="I67" s="10" t="s">
        <v>28</v>
      </c>
      <c r="J67" s="9" t="s">
        <v>112</v>
      </c>
    </row>
    <row r="68" customFormat="false" ht="15" hidden="false" customHeight="false" outlineLevel="0" collapsed="false">
      <c r="A68" s="16" t="s">
        <v>206</v>
      </c>
      <c r="B68" s="16" t="s">
        <v>206</v>
      </c>
      <c r="C68" s="9" t="s">
        <v>204</v>
      </c>
      <c r="D68" s="9" t="s">
        <v>108</v>
      </c>
      <c r="E68" s="9" t="s">
        <v>109</v>
      </c>
      <c r="F68" s="16" t="s">
        <v>117</v>
      </c>
      <c r="G68" s="16" t="s">
        <v>120</v>
      </c>
      <c r="H68" s="16" t="s">
        <v>120</v>
      </c>
      <c r="I68" s="10" t="s">
        <v>28</v>
      </c>
      <c r="J68" s="9" t="s">
        <v>112</v>
      </c>
    </row>
    <row r="69" customFormat="false" ht="15" hidden="false" customHeight="false" outlineLevel="0" collapsed="false">
      <c r="A69" s="16" t="s">
        <v>206</v>
      </c>
      <c r="B69" s="16" t="s">
        <v>206</v>
      </c>
      <c r="C69" s="9" t="s">
        <v>204</v>
      </c>
      <c r="D69" s="9" t="s">
        <v>108</v>
      </c>
      <c r="E69" s="9" t="s">
        <v>109</v>
      </c>
      <c r="F69" s="16" t="s">
        <v>209</v>
      </c>
      <c r="G69" s="16" t="s">
        <v>120</v>
      </c>
      <c r="H69" s="16" t="s">
        <v>120</v>
      </c>
      <c r="I69" s="10" t="s">
        <v>28</v>
      </c>
      <c r="J69" s="9" t="s">
        <v>112</v>
      </c>
    </row>
    <row r="70" customFormat="false" ht="15" hidden="false" customHeight="false" outlineLevel="0" collapsed="false">
      <c r="A70" s="16" t="s">
        <v>206</v>
      </c>
      <c r="B70" s="16" t="s">
        <v>206</v>
      </c>
      <c r="C70" s="9" t="s">
        <v>204</v>
      </c>
      <c r="D70" s="9" t="s">
        <v>108</v>
      </c>
      <c r="E70" s="9" t="s">
        <v>109</v>
      </c>
      <c r="F70" s="16" t="s">
        <v>210</v>
      </c>
      <c r="G70" s="16" t="s">
        <v>120</v>
      </c>
      <c r="H70" s="16" t="s">
        <v>120</v>
      </c>
      <c r="I70" s="10" t="s">
        <v>28</v>
      </c>
      <c r="J70" s="9" t="s">
        <v>112</v>
      </c>
    </row>
    <row r="71" customFormat="false" ht="15" hidden="false" customHeight="false" outlineLevel="0" collapsed="false">
      <c r="A71" s="16" t="s">
        <v>206</v>
      </c>
      <c r="B71" s="16" t="s">
        <v>206</v>
      </c>
      <c r="C71" s="9" t="s">
        <v>204</v>
      </c>
      <c r="D71" s="9" t="s">
        <v>108</v>
      </c>
      <c r="E71" s="9" t="s">
        <v>109</v>
      </c>
      <c r="F71" s="16" t="s">
        <v>122</v>
      </c>
      <c r="G71" s="16" t="s">
        <v>164</v>
      </c>
      <c r="H71" s="16" t="s">
        <v>164</v>
      </c>
      <c r="I71" s="10" t="s">
        <v>28</v>
      </c>
      <c r="J71" s="9" t="s">
        <v>112</v>
      </c>
    </row>
    <row r="72" customFormat="false" ht="15" hidden="false" customHeight="false" outlineLevel="0" collapsed="false">
      <c r="A72" s="16" t="s">
        <v>206</v>
      </c>
      <c r="B72" s="16" t="s">
        <v>206</v>
      </c>
      <c r="C72" s="9" t="s">
        <v>204</v>
      </c>
      <c r="D72" s="9" t="s">
        <v>108</v>
      </c>
      <c r="E72" s="9" t="s">
        <v>109</v>
      </c>
      <c r="F72" s="16" t="s">
        <v>211</v>
      </c>
      <c r="G72" s="16" t="s">
        <v>120</v>
      </c>
      <c r="H72" s="16" t="s">
        <v>120</v>
      </c>
      <c r="I72" s="10" t="s">
        <v>28</v>
      </c>
      <c r="J72" s="9" t="s">
        <v>112</v>
      </c>
    </row>
    <row r="73" customFormat="false" ht="15" hidden="false" customHeight="false" outlineLevel="0" collapsed="false">
      <c r="A73" s="16" t="s">
        <v>206</v>
      </c>
      <c r="B73" s="16" t="s">
        <v>206</v>
      </c>
      <c r="C73" s="9" t="s">
        <v>204</v>
      </c>
      <c r="D73" s="9" t="s">
        <v>108</v>
      </c>
      <c r="E73" s="9" t="s">
        <v>109</v>
      </c>
      <c r="F73" s="16" t="s">
        <v>212</v>
      </c>
      <c r="G73" s="16" t="s">
        <v>111</v>
      </c>
      <c r="H73" s="16" t="s">
        <v>111</v>
      </c>
      <c r="I73" s="10" t="s">
        <v>28</v>
      </c>
      <c r="J73" s="9" t="s">
        <v>112</v>
      </c>
    </row>
    <row r="74" customFormat="false" ht="15" hidden="false" customHeight="false" outlineLevel="0" collapsed="false">
      <c r="A74" s="16" t="s">
        <v>206</v>
      </c>
      <c r="B74" s="16" t="s">
        <v>206</v>
      </c>
      <c r="C74" s="9" t="s">
        <v>204</v>
      </c>
      <c r="D74" s="9" t="s">
        <v>108</v>
      </c>
      <c r="E74" s="9" t="s">
        <v>109</v>
      </c>
      <c r="F74" s="16" t="s">
        <v>213</v>
      </c>
      <c r="G74" s="16" t="s">
        <v>111</v>
      </c>
      <c r="H74" s="16" t="s">
        <v>111</v>
      </c>
      <c r="I74" s="10" t="s">
        <v>28</v>
      </c>
      <c r="J74" s="9" t="s">
        <v>112</v>
      </c>
    </row>
    <row r="75" customFormat="false" ht="15" hidden="false" customHeight="false" outlineLevel="0" collapsed="false">
      <c r="A75" s="16" t="s">
        <v>206</v>
      </c>
      <c r="B75" s="16" t="s">
        <v>206</v>
      </c>
      <c r="C75" s="9" t="s">
        <v>204</v>
      </c>
      <c r="D75" s="9" t="s">
        <v>108</v>
      </c>
      <c r="E75" s="9" t="s">
        <v>109</v>
      </c>
      <c r="F75" s="16" t="s">
        <v>214</v>
      </c>
      <c r="G75" s="16" t="s">
        <v>149</v>
      </c>
      <c r="H75" s="16" t="s">
        <v>149</v>
      </c>
      <c r="I75" s="10" t="s">
        <v>28</v>
      </c>
      <c r="J75" s="9" t="s">
        <v>112</v>
      </c>
    </row>
    <row r="76" customFormat="false" ht="15" hidden="false" customHeight="false" outlineLevel="0" collapsed="false">
      <c r="A76" s="16" t="s">
        <v>206</v>
      </c>
      <c r="B76" s="16" t="s">
        <v>206</v>
      </c>
      <c r="C76" s="9" t="s">
        <v>204</v>
      </c>
      <c r="D76" s="9" t="s">
        <v>108</v>
      </c>
      <c r="E76" s="9" t="s">
        <v>109</v>
      </c>
      <c r="F76" s="16" t="s">
        <v>215</v>
      </c>
      <c r="G76" s="16" t="s">
        <v>120</v>
      </c>
      <c r="H76" s="16" t="s">
        <v>120</v>
      </c>
      <c r="I76" s="10" t="s">
        <v>28</v>
      </c>
      <c r="J76" s="9" t="s">
        <v>112</v>
      </c>
    </row>
    <row r="77" customFormat="false" ht="15" hidden="false" customHeight="false" outlineLevel="0" collapsed="false">
      <c r="A77" s="16" t="s">
        <v>206</v>
      </c>
      <c r="B77" s="16" t="s">
        <v>206</v>
      </c>
      <c r="C77" s="9" t="s">
        <v>204</v>
      </c>
      <c r="D77" s="9" t="s">
        <v>108</v>
      </c>
      <c r="E77" s="9" t="s">
        <v>109</v>
      </c>
      <c r="F77" s="16" t="s">
        <v>216</v>
      </c>
      <c r="G77" s="16" t="s">
        <v>111</v>
      </c>
      <c r="H77" s="16" t="s">
        <v>111</v>
      </c>
      <c r="I77" s="10" t="s">
        <v>28</v>
      </c>
      <c r="J77" s="9" t="s">
        <v>112</v>
      </c>
    </row>
    <row r="78" customFormat="false" ht="15" hidden="false" customHeight="false" outlineLevel="0" collapsed="false">
      <c r="A78" s="16" t="s">
        <v>206</v>
      </c>
      <c r="B78" s="16" t="s">
        <v>206</v>
      </c>
      <c r="C78" s="9" t="s">
        <v>204</v>
      </c>
      <c r="D78" s="9" t="s">
        <v>108</v>
      </c>
      <c r="E78" s="9" t="s">
        <v>109</v>
      </c>
      <c r="F78" s="16" t="s">
        <v>127</v>
      </c>
      <c r="G78" s="16" t="s">
        <v>120</v>
      </c>
      <c r="H78" s="16" t="s">
        <v>120</v>
      </c>
      <c r="I78" s="10" t="s">
        <v>28</v>
      </c>
      <c r="J78" s="9" t="s">
        <v>112</v>
      </c>
    </row>
    <row r="79" customFormat="false" ht="15" hidden="false" customHeight="false" outlineLevel="0" collapsed="false">
      <c r="A79" s="16" t="s">
        <v>206</v>
      </c>
      <c r="B79" s="16" t="s">
        <v>206</v>
      </c>
      <c r="C79" s="9" t="s">
        <v>204</v>
      </c>
      <c r="D79" s="9" t="s">
        <v>108</v>
      </c>
      <c r="E79" s="9" t="s">
        <v>109</v>
      </c>
      <c r="F79" s="16" t="s">
        <v>129</v>
      </c>
      <c r="G79" s="16" t="s">
        <v>120</v>
      </c>
      <c r="H79" s="16" t="s">
        <v>120</v>
      </c>
      <c r="I79" s="10" t="s">
        <v>28</v>
      </c>
      <c r="J79" s="9" t="s">
        <v>112</v>
      </c>
    </row>
    <row r="80" customFormat="false" ht="15" hidden="false" customHeight="false" outlineLevel="0" collapsed="false">
      <c r="A80" s="16" t="s">
        <v>206</v>
      </c>
      <c r="B80" s="16" t="s">
        <v>206</v>
      </c>
      <c r="C80" s="9" t="s">
        <v>204</v>
      </c>
      <c r="D80" s="9" t="s">
        <v>108</v>
      </c>
      <c r="E80" s="9" t="s">
        <v>109</v>
      </c>
      <c r="F80" s="16" t="s">
        <v>131</v>
      </c>
      <c r="G80" s="16" t="s">
        <v>120</v>
      </c>
      <c r="H80" s="16" t="s">
        <v>120</v>
      </c>
      <c r="I80" s="10" t="s">
        <v>28</v>
      </c>
      <c r="J80" s="9" t="s">
        <v>112</v>
      </c>
    </row>
    <row r="81" customFormat="false" ht="15" hidden="false" customHeight="false" outlineLevel="0" collapsed="false">
      <c r="A81" s="16" t="s">
        <v>206</v>
      </c>
      <c r="B81" s="16" t="s">
        <v>206</v>
      </c>
      <c r="C81" s="9" t="s">
        <v>204</v>
      </c>
      <c r="D81" s="9" t="s">
        <v>108</v>
      </c>
      <c r="E81" s="9" t="s">
        <v>109</v>
      </c>
      <c r="F81" s="16" t="s">
        <v>217</v>
      </c>
      <c r="G81" s="16" t="s">
        <v>111</v>
      </c>
      <c r="H81" s="16" t="s">
        <v>111</v>
      </c>
      <c r="I81" s="10" t="s">
        <v>28</v>
      </c>
      <c r="J81" s="9" t="s">
        <v>112</v>
      </c>
    </row>
    <row r="82" customFormat="false" ht="15" hidden="false" customHeight="false" outlineLevel="0" collapsed="false">
      <c r="A82" s="16" t="s">
        <v>206</v>
      </c>
      <c r="B82" s="16" t="s">
        <v>206</v>
      </c>
      <c r="C82" s="9" t="s">
        <v>204</v>
      </c>
      <c r="D82" s="9" t="s">
        <v>108</v>
      </c>
      <c r="E82" s="9" t="s">
        <v>109</v>
      </c>
      <c r="F82" s="16" t="s">
        <v>218</v>
      </c>
      <c r="G82" s="16" t="s">
        <v>111</v>
      </c>
      <c r="H82" s="16" t="s">
        <v>111</v>
      </c>
      <c r="I82" s="10" t="s">
        <v>28</v>
      </c>
      <c r="J82" s="9" t="s">
        <v>112</v>
      </c>
    </row>
    <row r="83" customFormat="false" ht="15" hidden="false" customHeight="false" outlineLevel="0" collapsed="false">
      <c r="A83" s="16" t="s">
        <v>206</v>
      </c>
      <c r="B83" s="16" t="s">
        <v>206</v>
      </c>
      <c r="C83" s="9" t="s">
        <v>204</v>
      </c>
      <c r="D83" s="9" t="s">
        <v>108</v>
      </c>
      <c r="E83" s="9" t="s">
        <v>109</v>
      </c>
      <c r="F83" s="16" t="s">
        <v>200</v>
      </c>
      <c r="G83" s="16" t="s">
        <v>120</v>
      </c>
      <c r="H83" s="16" t="s">
        <v>120</v>
      </c>
      <c r="I83" s="10" t="s">
        <v>28</v>
      </c>
      <c r="J83" s="9" t="s">
        <v>112</v>
      </c>
    </row>
    <row r="84" customFormat="false" ht="15" hidden="false" customHeight="false" outlineLevel="0" collapsed="false">
      <c r="A84" s="16" t="s">
        <v>206</v>
      </c>
      <c r="B84" s="16" t="s">
        <v>206</v>
      </c>
      <c r="C84" s="9" t="s">
        <v>204</v>
      </c>
      <c r="D84" s="9" t="s">
        <v>108</v>
      </c>
      <c r="E84" s="9" t="s">
        <v>109</v>
      </c>
      <c r="F84" s="16" t="s">
        <v>219</v>
      </c>
      <c r="G84" s="16" t="s">
        <v>120</v>
      </c>
      <c r="H84" s="16" t="s">
        <v>120</v>
      </c>
      <c r="I84" s="10" t="s">
        <v>28</v>
      </c>
      <c r="J84" s="9" t="s">
        <v>112</v>
      </c>
    </row>
    <row r="85" customFormat="false" ht="15" hidden="false" customHeight="false" outlineLevel="0" collapsed="false">
      <c r="A85" s="16" t="s">
        <v>206</v>
      </c>
      <c r="B85" s="16" t="s">
        <v>206</v>
      </c>
      <c r="C85" s="9" t="s">
        <v>204</v>
      </c>
      <c r="D85" s="9" t="s">
        <v>108</v>
      </c>
      <c r="E85" s="9" t="s">
        <v>109</v>
      </c>
      <c r="F85" s="16" t="s">
        <v>135</v>
      </c>
      <c r="G85" s="16" t="s">
        <v>111</v>
      </c>
      <c r="H85" s="16" t="s">
        <v>111</v>
      </c>
      <c r="I85" s="10" t="s">
        <v>28</v>
      </c>
      <c r="J85" s="9" t="s">
        <v>112</v>
      </c>
    </row>
    <row r="86" customFormat="false" ht="15" hidden="false" customHeight="false" outlineLevel="0" collapsed="false">
      <c r="A86" s="16" t="s">
        <v>206</v>
      </c>
      <c r="B86" s="16" t="s">
        <v>206</v>
      </c>
      <c r="C86" s="9" t="s">
        <v>204</v>
      </c>
      <c r="D86" s="9" t="s">
        <v>108</v>
      </c>
      <c r="E86" s="9" t="s">
        <v>109</v>
      </c>
      <c r="F86" s="16" t="s">
        <v>220</v>
      </c>
      <c r="G86" s="16" t="s">
        <v>111</v>
      </c>
      <c r="H86" s="16" t="s">
        <v>111</v>
      </c>
      <c r="I86" s="10" t="s">
        <v>28</v>
      </c>
      <c r="J86" s="9" t="s">
        <v>112</v>
      </c>
    </row>
    <row r="87" customFormat="false" ht="15" hidden="false" customHeight="false" outlineLevel="0" collapsed="false">
      <c r="A87" s="16" t="s">
        <v>206</v>
      </c>
      <c r="B87" s="16" t="s">
        <v>206</v>
      </c>
      <c r="C87" s="9" t="s">
        <v>204</v>
      </c>
      <c r="D87" s="9" t="s">
        <v>108</v>
      </c>
      <c r="E87" s="9" t="s">
        <v>109</v>
      </c>
      <c r="F87" s="16" t="s">
        <v>221</v>
      </c>
      <c r="G87" s="16" t="s">
        <v>149</v>
      </c>
      <c r="H87" s="16" t="s">
        <v>149</v>
      </c>
      <c r="I87" s="10" t="s">
        <v>28</v>
      </c>
      <c r="J87" s="9" t="s">
        <v>112</v>
      </c>
    </row>
    <row r="88" customFormat="false" ht="15" hidden="false" customHeight="false" outlineLevel="0" collapsed="false">
      <c r="A88" s="16" t="s">
        <v>206</v>
      </c>
      <c r="B88" s="16" t="s">
        <v>206</v>
      </c>
      <c r="C88" s="9" t="s">
        <v>204</v>
      </c>
      <c r="D88" s="9" t="s">
        <v>108</v>
      </c>
      <c r="E88" s="9" t="s">
        <v>109</v>
      </c>
      <c r="F88" s="16" t="s">
        <v>222</v>
      </c>
      <c r="G88" s="16" t="s">
        <v>120</v>
      </c>
      <c r="H88" s="16" t="s">
        <v>120</v>
      </c>
      <c r="I88" s="10" t="s">
        <v>28</v>
      </c>
      <c r="J88" s="9" t="s">
        <v>112</v>
      </c>
    </row>
    <row r="89" customFormat="false" ht="15" hidden="false" customHeight="false" outlineLevel="0" collapsed="false">
      <c r="A89" s="16" t="s">
        <v>206</v>
      </c>
      <c r="B89" s="16" t="s">
        <v>206</v>
      </c>
      <c r="C89" s="9" t="s">
        <v>204</v>
      </c>
      <c r="D89" s="9" t="s">
        <v>108</v>
      </c>
      <c r="E89" s="9" t="s">
        <v>109</v>
      </c>
      <c r="F89" s="16" t="s">
        <v>223</v>
      </c>
      <c r="G89" s="16" t="s">
        <v>120</v>
      </c>
      <c r="H89" s="16" t="s">
        <v>120</v>
      </c>
      <c r="I89" s="10" t="s">
        <v>28</v>
      </c>
      <c r="J89" s="9" t="s">
        <v>112</v>
      </c>
    </row>
    <row r="90" customFormat="false" ht="15" hidden="false" customHeight="false" outlineLevel="0" collapsed="false">
      <c r="A90" s="16" t="s">
        <v>206</v>
      </c>
      <c r="B90" s="16" t="s">
        <v>206</v>
      </c>
      <c r="C90" s="9" t="s">
        <v>204</v>
      </c>
      <c r="D90" s="9" t="s">
        <v>108</v>
      </c>
      <c r="E90" s="9" t="s">
        <v>109</v>
      </c>
      <c r="F90" s="16" t="s">
        <v>224</v>
      </c>
      <c r="G90" s="16" t="s">
        <v>120</v>
      </c>
      <c r="H90" s="16" t="s">
        <v>120</v>
      </c>
      <c r="I90" s="10" t="s">
        <v>28</v>
      </c>
      <c r="J90" s="9" t="s">
        <v>112</v>
      </c>
    </row>
    <row r="91" customFormat="false" ht="15" hidden="false" customHeight="false" outlineLevel="0" collapsed="false">
      <c r="A91" s="16" t="s">
        <v>206</v>
      </c>
      <c r="B91" s="16" t="s">
        <v>206</v>
      </c>
      <c r="C91" s="9" t="s">
        <v>204</v>
      </c>
      <c r="D91" s="9" t="s">
        <v>108</v>
      </c>
      <c r="E91" s="9" t="s">
        <v>109</v>
      </c>
      <c r="F91" s="16" t="s">
        <v>225</v>
      </c>
      <c r="G91" s="16" t="s">
        <v>120</v>
      </c>
      <c r="H91" s="16" t="s">
        <v>120</v>
      </c>
      <c r="I91" s="10" t="s">
        <v>28</v>
      </c>
      <c r="J91" s="9" t="s">
        <v>112</v>
      </c>
    </row>
    <row r="92" customFormat="false" ht="15" hidden="false" customHeight="false" outlineLevel="0" collapsed="false">
      <c r="A92" s="16" t="s">
        <v>206</v>
      </c>
      <c r="B92" s="16" t="s">
        <v>206</v>
      </c>
      <c r="C92" s="9" t="s">
        <v>204</v>
      </c>
      <c r="D92" s="9" t="s">
        <v>108</v>
      </c>
      <c r="E92" s="9" t="s">
        <v>109</v>
      </c>
      <c r="F92" s="16" t="s">
        <v>226</v>
      </c>
      <c r="G92" s="16" t="s">
        <v>120</v>
      </c>
      <c r="H92" s="16" t="s">
        <v>120</v>
      </c>
      <c r="I92" s="10" t="s">
        <v>28</v>
      </c>
      <c r="J92" s="9" t="s">
        <v>112</v>
      </c>
    </row>
    <row r="93" customFormat="false" ht="15" hidden="false" customHeight="false" outlineLevel="0" collapsed="false">
      <c r="A93" s="16" t="s">
        <v>206</v>
      </c>
      <c r="B93" s="16" t="s">
        <v>206</v>
      </c>
      <c r="C93" s="9" t="s">
        <v>204</v>
      </c>
      <c r="D93" s="9" t="s">
        <v>108</v>
      </c>
      <c r="E93" s="9" t="s">
        <v>109</v>
      </c>
      <c r="F93" s="16" t="s">
        <v>227</v>
      </c>
      <c r="G93" s="16" t="s">
        <v>120</v>
      </c>
      <c r="H93" s="16" t="s">
        <v>120</v>
      </c>
      <c r="I93" s="10" t="s">
        <v>28</v>
      </c>
      <c r="J93" s="9" t="s">
        <v>112</v>
      </c>
    </row>
    <row r="94" customFormat="false" ht="15" hidden="false" customHeight="false" outlineLevel="0" collapsed="false">
      <c r="A94" s="16" t="s">
        <v>206</v>
      </c>
      <c r="B94" s="16" t="s">
        <v>206</v>
      </c>
      <c r="C94" s="9" t="s">
        <v>204</v>
      </c>
      <c r="D94" s="9" t="s">
        <v>108</v>
      </c>
      <c r="E94" s="9" t="s">
        <v>109</v>
      </c>
      <c r="F94" s="16" t="s">
        <v>228</v>
      </c>
      <c r="G94" s="16" t="s">
        <v>111</v>
      </c>
      <c r="H94" s="16" t="s">
        <v>111</v>
      </c>
      <c r="I94" s="10" t="s">
        <v>28</v>
      </c>
      <c r="J94" s="9" t="s">
        <v>112</v>
      </c>
    </row>
    <row r="95" customFormat="false" ht="15" hidden="false" customHeight="false" outlineLevel="0" collapsed="false">
      <c r="A95" s="16" t="s">
        <v>206</v>
      </c>
      <c r="B95" s="16" t="s">
        <v>206</v>
      </c>
      <c r="C95" s="9" t="s">
        <v>204</v>
      </c>
      <c r="D95" s="9" t="s">
        <v>108</v>
      </c>
      <c r="E95" s="9" t="s">
        <v>109</v>
      </c>
      <c r="F95" s="16" t="s">
        <v>229</v>
      </c>
      <c r="G95" s="16" t="s">
        <v>120</v>
      </c>
      <c r="H95" s="16" t="s">
        <v>120</v>
      </c>
      <c r="I95" s="10" t="s">
        <v>28</v>
      </c>
      <c r="J95" s="9" t="s">
        <v>112</v>
      </c>
    </row>
    <row r="96" customFormat="false" ht="15" hidden="false" customHeight="false" outlineLevel="0" collapsed="false">
      <c r="A96" s="16" t="s">
        <v>206</v>
      </c>
      <c r="B96" s="16" t="s">
        <v>206</v>
      </c>
      <c r="C96" s="9" t="s">
        <v>204</v>
      </c>
      <c r="D96" s="9" t="s">
        <v>108</v>
      </c>
      <c r="E96" s="9" t="s">
        <v>109</v>
      </c>
      <c r="F96" s="16" t="s">
        <v>230</v>
      </c>
      <c r="G96" s="16" t="s">
        <v>111</v>
      </c>
      <c r="H96" s="16" t="s">
        <v>111</v>
      </c>
      <c r="I96" s="10" t="s">
        <v>28</v>
      </c>
      <c r="J96" s="9" t="s">
        <v>112</v>
      </c>
    </row>
    <row r="97" customFormat="false" ht="15" hidden="false" customHeight="false" outlineLevel="0" collapsed="false">
      <c r="A97" s="16" t="s">
        <v>206</v>
      </c>
      <c r="B97" s="16" t="s">
        <v>206</v>
      </c>
      <c r="C97" s="9" t="s">
        <v>204</v>
      </c>
      <c r="D97" s="9" t="s">
        <v>108</v>
      </c>
      <c r="E97" s="9" t="s">
        <v>109</v>
      </c>
      <c r="F97" s="16" t="s">
        <v>231</v>
      </c>
      <c r="G97" s="16" t="s">
        <v>120</v>
      </c>
      <c r="H97" s="16" t="s">
        <v>120</v>
      </c>
      <c r="I97" s="10" t="s">
        <v>28</v>
      </c>
      <c r="J97" s="9" t="s">
        <v>112</v>
      </c>
    </row>
    <row r="98" customFormat="false" ht="15" hidden="false" customHeight="false" outlineLevel="0" collapsed="false">
      <c r="A98" s="16" t="s">
        <v>206</v>
      </c>
      <c r="B98" s="16" t="s">
        <v>206</v>
      </c>
      <c r="C98" s="9" t="s">
        <v>204</v>
      </c>
      <c r="D98" s="9" t="s">
        <v>108</v>
      </c>
      <c r="E98" s="9" t="s">
        <v>109</v>
      </c>
      <c r="F98" s="16" t="s">
        <v>232</v>
      </c>
      <c r="G98" s="16" t="s">
        <v>120</v>
      </c>
      <c r="H98" s="16" t="s">
        <v>120</v>
      </c>
      <c r="I98" s="10" t="s">
        <v>28</v>
      </c>
      <c r="J98" s="9" t="s">
        <v>112</v>
      </c>
    </row>
    <row r="99" customFormat="false" ht="15" hidden="false" customHeight="false" outlineLevel="0" collapsed="false">
      <c r="A99" s="16" t="s">
        <v>206</v>
      </c>
      <c r="B99" s="16" t="s">
        <v>206</v>
      </c>
      <c r="C99" s="9" t="s">
        <v>204</v>
      </c>
      <c r="D99" s="9" t="s">
        <v>108</v>
      </c>
      <c r="E99" s="9" t="s">
        <v>109</v>
      </c>
      <c r="F99" s="16" t="s">
        <v>142</v>
      </c>
      <c r="G99" s="16" t="s">
        <v>120</v>
      </c>
      <c r="H99" s="16" t="s">
        <v>120</v>
      </c>
      <c r="I99" s="10" t="s">
        <v>28</v>
      </c>
      <c r="J99" s="9" t="s">
        <v>112</v>
      </c>
    </row>
    <row r="100" customFormat="false" ht="15" hidden="false" customHeight="false" outlineLevel="0" collapsed="false">
      <c r="A100" s="16" t="s">
        <v>206</v>
      </c>
      <c r="B100" s="16" t="s">
        <v>206</v>
      </c>
      <c r="C100" s="9" t="s">
        <v>204</v>
      </c>
      <c r="D100" s="9" t="s">
        <v>108</v>
      </c>
      <c r="E100" s="9" t="s">
        <v>109</v>
      </c>
      <c r="F100" s="16" t="s">
        <v>143</v>
      </c>
      <c r="G100" s="16" t="s">
        <v>111</v>
      </c>
      <c r="H100" s="16" t="s">
        <v>111</v>
      </c>
      <c r="I100" s="10" t="s">
        <v>28</v>
      </c>
      <c r="J100" s="9" t="s">
        <v>112</v>
      </c>
    </row>
    <row r="101" customFormat="false" ht="15" hidden="false" customHeight="false" outlineLevel="0" collapsed="false">
      <c r="A101" s="16" t="s">
        <v>206</v>
      </c>
      <c r="B101" s="16" t="s">
        <v>206</v>
      </c>
      <c r="C101" s="9" t="s">
        <v>204</v>
      </c>
      <c r="D101" s="9" t="s">
        <v>108</v>
      </c>
      <c r="E101" s="9" t="s">
        <v>109</v>
      </c>
      <c r="F101" s="16" t="s">
        <v>233</v>
      </c>
      <c r="G101" s="16" t="s">
        <v>111</v>
      </c>
      <c r="H101" s="16" t="s">
        <v>111</v>
      </c>
      <c r="I101" s="10" t="s">
        <v>28</v>
      </c>
      <c r="J101" s="9" t="s">
        <v>112</v>
      </c>
    </row>
    <row r="102" customFormat="false" ht="15" hidden="false" customHeight="false" outlineLevel="0" collapsed="false">
      <c r="A102" s="16" t="s">
        <v>206</v>
      </c>
      <c r="B102" s="16" t="s">
        <v>206</v>
      </c>
      <c r="C102" s="9" t="s">
        <v>204</v>
      </c>
      <c r="D102" s="9" t="s">
        <v>108</v>
      </c>
      <c r="E102" s="9" t="s">
        <v>109</v>
      </c>
      <c r="F102" s="16" t="s">
        <v>234</v>
      </c>
      <c r="G102" s="16" t="s">
        <v>120</v>
      </c>
      <c r="H102" s="16" t="s">
        <v>120</v>
      </c>
      <c r="I102" s="10" t="s">
        <v>28</v>
      </c>
      <c r="J102" s="9" t="s">
        <v>112</v>
      </c>
    </row>
    <row r="103" customFormat="false" ht="15" hidden="false" customHeight="false" outlineLevel="0" collapsed="false">
      <c r="A103" s="16" t="s">
        <v>206</v>
      </c>
      <c r="B103" s="16" t="s">
        <v>206</v>
      </c>
      <c r="C103" s="9" t="s">
        <v>204</v>
      </c>
      <c r="D103" s="9" t="s">
        <v>108</v>
      </c>
      <c r="E103" s="9" t="s">
        <v>109</v>
      </c>
      <c r="F103" s="16" t="s">
        <v>144</v>
      </c>
      <c r="G103" s="16" t="s">
        <v>111</v>
      </c>
      <c r="H103" s="16" t="s">
        <v>111</v>
      </c>
      <c r="I103" s="10" t="s">
        <v>28</v>
      </c>
      <c r="J103" s="9" t="s">
        <v>112</v>
      </c>
    </row>
    <row r="104" customFormat="false" ht="15" hidden="false" customHeight="false" outlineLevel="0" collapsed="false">
      <c r="A104" s="16" t="s">
        <v>206</v>
      </c>
      <c r="B104" s="16" t="s">
        <v>206</v>
      </c>
      <c r="C104" s="9" t="s">
        <v>204</v>
      </c>
      <c r="D104" s="9" t="s">
        <v>108</v>
      </c>
      <c r="E104" s="9" t="s">
        <v>109</v>
      </c>
      <c r="F104" s="16" t="s">
        <v>235</v>
      </c>
      <c r="G104" s="16" t="s">
        <v>111</v>
      </c>
      <c r="H104" s="16" t="s">
        <v>111</v>
      </c>
      <c r="I104" s="10" t="s">
        <v>28</v>
      </c>
      <c r="J104" s="9" t="s">
        <v>112</v>
      </c>
    </row>
    <row r="105" customFormat="false" ht="15" hidden="false" customHeight="false" outlineLevel="0" collapsed="false">
      <c r="A105" s="16" t="s">
        <v>206</v>
      </c>
      <c r="B105" s="16" t="s">
        <v>206</v>
      </c>
      <c r="C105" s="9" t="s">
        <v>204</v>
      </c>
      <c r="D105" s="9" t="s">
        <v>108</v>
      </c>
      <c r="E105" s="9" t="s">
        <v>109</v>
      </c>
      <c r="F105" s="16" t="s">
        <v>236</v>
      </c>
      <c r="G105" s="16" t="s">
        <v>120</v>
      </c>
      <c r="H105" s="16" t="s">
        <v>120</v>
      </c>
      <c r="I105" s="10" t="s">
        <v>28</v>
      </c>
      <c r="J105" s="9" t="s">
        <v>112</v>
      </c>
    </row>
    <row r="106" customFormat="false" ht="15" hidden="false" customHeight="false" outlineLevel="0" collapsed="false">
      <c r="A106" s="16" t="s">
        <v>206</v>
      </c>
      <c r="B106" s="16" t="s">
        <v>206</v>
      </c>
      <c r="C106" s="9" t="s">
        <v>204</v>
      </c>
      <c r="D106" s="9" t="s">
        <v>108</v>
      </c>
      <c r="E106" s="9" t="s">
        <v>109</v>
      </c>
      <c r="F106" s="16" t="s">
        <v>237</v>
      </c>
      <c r="G106" s="16" t="s">
        <v>120</v>
      </c>
      <c r="H106" s="16" t="s">
        <v>120</v>
      </c>
      <c r="I106" s="10" t="s">
        <v>28</v>
      </c>
      <c r="J106" s="9" t="s">
        <v>112</v>
      </c>
    </row>
    <row r="107" customFormat="false" ht="15" hidden="false" customHeight="false" outlineLevel="0" collapsed="false">
      <c r="A107" s="16" t="s">
        <v>206</v>
      </c>
      <c r="B107" s="16" t="s">
        <v>206</v>
      </c>
      <c r="C107" s="9" t="s">
        <v>204</v>
      </c>
      <c r="D107" s="9" t="s">
        <v>108</v>
      </c>
      <c r="E107" s="9" t="s">
        <v>109</v>
      </c>
      <c r="F107" s="16" t="s">
        <v>238</v>
      </c>
      <c r="G107" s="16" t="s">
        <v>120</v>
      </c>
      <c r="H107" s="16" t="s">
        <v>120</v>
      </c>
      <c r="I107" s="10" t="s">
        <v>28</v>
      </c>
      <c r="J107" s="9" t="s">
        <v>112</v>
      </c>
    </row>
    <row r="108" customFormat="false" ht="15" hidden="false" customHeight="false" outlineLevel="0" collapsed="false">
      <c r="A108" s="16" t="s">
        <v>206</v>
      </c>
      <c r="B108" s="16" t="s">
        <v>206</v>
      </c>
      <c r="C108" s="9" t="s">
        <v>204</v>
      </c>
      <c r="D108" s="9" t="s">
        <v>108</v>
      </c>
      <c r="E108" s="9" t="s">
        <v>109</v>
      </c>
      <c r="F108" s="16" t="s">
        <v>239</v>
      </c>
      <c r="G108" s="16" t="s">
        <v>111</v>
      </c>
      <c r="H108" s="16" t="s">
        <v>111</v>
      </c>
      <c r="I108" s="10" t="s">
        <v>28</v>
      </c>
      <c r="J108" s="9" t="s">
        <v>112</v>
      </c>
    </row>
    <row r="109" customFormat="false" ht="15" hidden="false" customHeight="false" outlineLevel="0" collapsed="false">
      <c r="A109" s="16" t="s">
        <v>206</v>
      </c>
      <c r="B109" s="16" t="s">
        <v>206</v>
      </c>
      <c r="C109" s="9" t="s">
        <v>204</v>
      </c>
      <c r="D109" s="9" t="s">
        <v>108</v>
      </c>
      <c r="E109" s="9" t="s">
        <v>109</v>
      </c>
      <c r="F109" s="16" t="s">
        <v>240</v>
      </c>
      <c r="G109" s="16" t="s">
        <v>149</v>
      </c>
      <c r="H109" s="16" t="s">
        <v>149</v>
      </c>
      <c r="I109" s="10" t="s">
        <v>28</v>
      </c>
      <c r="J109" s="9" t="s">
        <v>112</v>
      </c>
    </row>
    <row r="110" customFormat="false" ht="15" hidden="false" customHeight="false" outlineLevel="0" collapsed="false">
      <c r="A110" s="16" t="s">
        <v>206</v>
      </c>
      <c r="B110" s="16" t="s">
        <v>206</v>
      </c>
      <c r="C110" s="9" t="s">
        <v>204</v>
      </c>
      <c r="D110" s="9" t="s">
        <v>108</v>
      </c>
      <c r="E110" s="9" t="s">
        <v>109</v>
      </c>
      <c r="F110" s="16" t="s">
        <v>241</v>
      </c>
      <c r="G110" s="16" t="s">
        <v>120</v>
      </c>
      <c r="H110" s="16" t="s">
        <v>120</v>
      </c>
      <c r="I110" s="10" t="s">
        <v>28</v>
      </c>
      <c r="J110" s="9" t="s">
        <v>112</v>
      </c>
    </row>
    <row r="111" customFormat="false" ht="15" hidden="false" customHeight="false" outlineLevel="0" collapsed="false">
      <c r="A111" s="16" t="s">
        <v>206</v>
      </c>
      <c r="B111" s="16" t="s">
        <v>206</v>
      </c>
      <c r="C111" s="9" t="s">
        <v>204</v>
      </c>
      <c r="D111" s="9" t="s">
        <v>108</v>
      </c>
      <c r="E111" s="9" t="s">
        <v>109</v>
      </c>
      <c r="F111" s="16" t="s">
        <v>242</v>
      </c>
      <c r="G111" s="16" t="s">
        <v>120</v>
      </c>
      <c r="H111" s="16" t="s">
        <v>120</v>
      </c>
      <c r="I111" s="10" t="s">
        <v>28</v>
      </c>
      <c r="J111" s="9" t="s">
        <v>112</v>
      </c>
    </row>
    <row r="112" customFormat="false" ht="15" hidden="false" customHeight="false" outlineLevel="0" collapsed="false">
      <c r="A112" s="16" t="s">
        <v>206</v>
      </c>
      <c r="B112" s="16" t="s">
        <v>206</v>
      </c>
      <c r="C112" s="9" t="s">
        <v>204</v>
      </c>
      <c r="D112" s="9" t="s">
        <v>108</v>
      </c>
      <c r="E112" s="9" t="s">
        <v>109</v>
      </c>
      <c r="F112" s="16" t="s">
        <v>34</v>
      </c>
      <c r="G112" s="16" t="s">
        <v>111</v>
      </c>
      <c r="H112" s="16" t="s">
        <v>111</v>
      </c>
      <c r="I112" s="10" t="s">
        <v>28</v>
      </c>
      <c r="J112" s="9" t="s">
        <v>112</v>
      </c>
    </row>
    <row r="113" customFormat="false" ht="15" hidden="false" customHeight="false" outlineLevel="0" collapsed="false">
      <c r="A113" s="16" t="s">
        <v>206</v>
      </c>
      <c r="B113" s="16" t="s">
        <v>206</v>
      </c>
      <c r="C113" s="9" t="s">
        <v>204</v>
      </c>
      <c r="D113" s="9" t="s">
        <v>108</v>
      </c>
      <c r="E113" s="9" t="s">
        <v>109</v>
      </c>
      <c r="F113" s="16" t="s">
        <v>243</v>
      </c>
      <c r="G113" s="16" t="s">
        <v>120</v>
      </c>
      <c r="H113" s="16" t="s">
        <v>120</v>
      </c>
      <c r="I113" s="10" t="s">
        <v>28</v>
      </c>
      <c r="J113" s="9" t="s">
        <v>112</v>
      </c>
    </row>
    <row r="114" customFormat="false" ht="15" hidden="false" customHeight="false" outlineLevel="0" collapsed="false">
      <c r="A114" s="16" t="s">
        <v>206</v>
      </c>
      <c r="B114" s="16" t="s">
        <v>206</v>
      </c>
      <c r="C114" s="9" t="s">
        <v>204</v>
      </c>
      <c r="D114" s="9" t="s">
        <v>108</v>
      </c>
      <c r="E114" s="9" t="s">
        <v>109</v>
      </c>
      <c r="F114" s="16" t="s">
        <v>244</v>
      </c>
      <c r="G114" s="16" t="s">
        <v>111</v>
      </c>
      <c r="H114" s="16" t="s">
        <v>111</v>
      </c>
      <c r="I114" s="10" t="s">
        <v>28</v>
      </c>
      <c r="J114" s="9" t="s">
        <v>112</v>
      </c>
    </row>
    <row r="115" customFormat="false" ht="15" hidden="false" customHeight="false" outlineLevel="0" collapsed="false">
      <c r="A115" s="16" t="s">
        <v>206</v>
      </c>
      <c r="B115" s="16" t="s">
        <v>206</v>
      </c>
      <c r="C115" s="9" t="s">
        <v>204</v>
      </c>
      <c r="D115" s="9" t="s">
        <v>108</v>
      </c>
      <c r="E115" s="9" t="s">
        <v>109</v>
      </c>
      <c r="F115" s="16" t="s">
        <v>146</v>
      </c>
      <c r="G115" s="16" t="s">
        <v>164</v>
      </c>
      <c r="H115" s="16" t="s">
        <v>164</v>
      </c>
      <c r="I115" s="10" t="s">
        <v>28</v>
      </c>
      <c r="J115" s="9" t="s">
        <v>112</v>
      </c>
    </row>
    <row r="116" customFormat="false" ht="15" hidden="false" customHeight="false" outlineLevel="0" collapsed="false">
      <c r="A116" s="16" t="s">
        <v>206</v>
      </c>
      <c r="B116" s="16" t="s">
        <v>206</v>
      </c>
      <c r="C116" s="9" t="s">
        <v>204</v>
      </c>
      <c r="D116" s="9" t="s">
        <v>108</v>
      </c>
      <c r="E116" s="9" t="s">
        <v>109</v>
      </c>
      <c r="F116" s="16" t="s">
        <v>150</v>
      </c>
      <c r="G116" s="16" t="s">
        <v>120</v>
      </c>
      <c r="H116" s="16" t="s">
        <v>120</v>
      </c>
      <c r="I116" s="10" t="s">
        <v>28</v>
      </c>
      <c r="J116" s="9" t="s">
        <v>112</v>
      </c>
    </row>
    <row r="117" customFormat="false" ht="15" hidden="false" customHeight="false" outlineLevel="0" collapsed="false">
      <c r="A117" s="16" t="s">
        <v>206</v>
      </c>
      <c r="B117" s="16" t="s">
        <v>206</v>
      </c>
      <c r="C117" s="9" t="s">
        <v>204</v>
      </c>
      <c r="D117" s="9" t="s">
        <v>108</v>
      </c>
      <c r="E117" s="9" t="s">
        <v>109</v>
      </c>
      <c r="F117" s="16" t="s">
        <v>245</v>
      </c>
      <c r="G117" s="16" t="s">
        <v>120</v>
      </c>
      <c r="H117" s="16" t="s">
        <v>120</v>
      </c>
      <c r="I117" s="10" t="s">
        <v>28</v>
      </c>
      <c r="J117" s="9" t="s">
        <v>112</v>
      </c>
    </row>
    <row r="118" customFormat="false" ht="15" hidden="false" customHeight="false" outlineLevel="0" collapsed="false">
      <c r="A118" s="16" t="s">
        <v>206</v>
      </c>
      <c r="B118" s="16" t="s">
        <v>206</v>
      </c>
      <c r="C118" s="9" t="s">
        <v>204</v>
      </c>
      <c r="D118" s="9" t="s">
        <v>108</v>
      </c>
      <c r="E118" s="9" t="s">
        <v>109</v>
      </c>
      <c r="F118" s="16" t="s">
        <v>246</v>
      </c>
      <c r="G118" s="16" t="s">
        <v>111</v>
      </c>
      <c r="H118" s="16" t="s">
        <v>111</v>
      </c>
      <c r="I118" s="10" t="s">
        <v>28</v>
      </c>
      <c r="J118" s="9" t="s">
        <v>112</v>
      </c>
    </row>
    <row r="119" customFormat="false" ht="15" hidden="false" customHeight="false" outlineLevel="0" collapsed="false">
      <c r="A119" s="16" t="s">
        <v>206</v>
      </c>
      <c r="B119" s="16" t="s">
        <v>206</v>
      </c>
      <c r="C119" s="9" t="s">
        <v>204</v>
      </c>
      <c r="D119" s="9" t="s">
        <v>108</v>
      </c>
      <c r="E119" s="9" t="s">
        <v>109</v>
      </c>
      <c r="F119" s="16" t="s">
        <v>247</v>
      </c>
      <c r="G119" s="16" t="s">
        <v>111</v>
      </c>
      <c r="H119" s="16" t="s">
        <v>111</v>
      </c>
      <c r="I119" s="10" t="s">
        <v>28</v>
      </c>
      <c r="J119" s="9" t="s">
        <v>112</v>
      </c>
    </row>
    <row r="120" customFormat="false" ht="15" hidden="false" customHeight="false" outlineLevel="0" collapsed="false">
      <c r="A120" s="16" t="s">
        <v>206</v>
      </c>
      <c r="B120" s="16" t="s">
        <v>206</v>
      </c>
      <c r="C120" s="9" t="s">
        <v>204</v>
      </c>
      <c r="D120" s="9" t="s">
        <v>108</v>
      </c>
      <c r="E120" s="9" t="s">
        <v>109</v>
      </c>
      <c r="F120" s="16" t="s">
        <v>152</v>
      </c>
      <c r="G120" s="16" t="s">
        <v>111</v>
      </c>
      <c r="H120" s="16" t="s">
        <v>111</v>
      </c>
      <c r="I120" s="10" t="s">
        <v>28</v>
      </c>
      <c r="J120" s="9" t="s">
        <v>112</v>
      </c>
    </row>
    <row r="121" customFormat="false" ht="15" hidden="false" customHeight="false" outlineLevel="0" collapsed="false">
      <c r="A121" s="16" t="s">
        <v>206</v>
      </c>
      <c r="B121" s="16" t="s">
        <v>206</v>
      </c>
      <c r="C121" s="9" t="s">
        <v>204</v>
      </c>
      <c r="D121" s="9" t="s">
        <v>108</v>
      </c>
      <c r="E121" s="9" t="s">
        <v>109</v>
      </c>
      <c r="F121" s="16" t="s">
        <v>248</v>
      </c>
      <c r="G121" s="16" t="s">
        <v>111</v>
      </c>
      <c r="H121" s="16" t="s">
        <v>111</v>
      </c>
      <c r="I121" s="10" t="s">
        <v>28</v>
      </c>
      <c r="J121" s="9" t="s">
        <v>112</v>
      </c>
    </row>
    <row r="122" customFormat="false" ht="15" hidden="false" customHeight="false" outlineLevel="0" collapsed="false">
      <c r="A122" s="16" t="s">
        <v>206</v>
      </c>
      <c r="B122" s="16" t="s">
        <v>206</v>
      </c>
      <c r="C122" s="9" t="s">
        <v>204</v>
      </c>
      <c r="D122" s="9" t="s">
        <v>108</v>
      </c>
      <c r="E122" s="9" t="s">
        <v>109</v>
      </c>
      <c r="F122" s="16" t="s">
        <v>154</v>
      </c>
      <c r="G122" s="16" t="s">
        <v>111</v>
      </c>
      <c r="H122" s="16" t="s">
        <v>111</v>
      </c>
      <c r="I122" s="10" t="s">
        <v>28</v>
      </c>
      <c r="J122" s="9" t="s">
        <v>112</v>
      </c>
    </row>
    <row r="123" customFormat="false" ht="15" hidden="false" customHeight="false" outlineLevel="0" collapsed="false">
      <c r="A123" s="16" t="s">
        <v>206</v>
      </c>
      <c r="B123" s="16" t="s">
        <v>206</v>
      </c>
      <c r="C123" s="9" t="s">
        <v>204</v>
      </c>
      <c r="D123" s="9" t="s">
        <v>108</v>
      </c>
      <c r="E123" s="9" t="s">
        <v>109</v>
      </c>
      <c r="F123" s="16" t="s">
        <v>156</v>
      </c>
      <c r="G123" s="16" t="s">
        <v>111</v>
      </c>
      <c r="H123" s="16" t="s">
        <v>111</v>
      </c>
      <c r="I123" s="10" t="s">
        <v>28</v>
      </c>
      <c r="J123" s="9" t="s">
        <v>112</v>
      </c>
    </row>
    <row r="124" customFormat="false" ht="15" hidden="false" customHeight="false" outlineLevel="0" collapsed="false">
      <c r="A124" s="16" t="s">
        <v>206</v>
      </c>
      <c r="B124" s="16" t="s">
        <v>206</v>
      </c>
      <c r="C124" s="9" t="s">
        <v>204</v>
      </c>
      <c r="D124" s="9" t="s">
        <v>108</v>
      </c>
      <c r="E124" s="9" t="s">
        <v>109</v>
      </c>
      <c r="F124" s="16" t="s">
        <v>157</v>
      </c>
      <c r="G124" s="16" t="s">
        <v>111</v>
      </c>
      <c r="H124" s="16" t="s">
        <v>111</v>
      </c>
      <c r="I124" s="10" t="s">
        <v>28</v>
      </c>
      <c r="J124" s="9" t="s">
        <v>112</v>
      </c>
    </row>
    <row r="125" customFormat="false" ht="15" hidden="false" customHeight="false" outlineLevel="0" collapsed="false">
      <c r="A125" s="16" t="s">
        <v>206</v>
      </c>
      <c r="B125" s="16" t="s">
        <v>206</v>
      </c>
      <c r="C125" s="9" t="s">
        <v>204</v>
      </c>
      <c r="D125" s="9" t="s">
        <v>108</v>
      </c>
      <c r="E125" s="9" t="s">
        <v>109</v>
      </c>
      <c r="F125" s="16" t="s">
        <v>249</v>
      </c>
      <c r="G125" s="16" t="s">
        <v>149</v>
      </c>
      <c r="H125" s="16" t="s">
        <v>149</v>
      </c>
      <c r="I125" s="10" t="s">
        <v>28</v>
      </c>
      <c r="J125" s="9" t="s">
        <v>112</v>
      </c>
    </row>
    <row r="126" customFormat="false" ht="15" hidden="false" customHeight="false" outlineLevel="0" collapsed="false">
      <c r="A126" s="16" t="s">
        <v>206</v>
      </c>
      <c r="B126" s="16" t="s">
        <v>206</v>
      </c>
      <c r="C126" s="9" t="s">
        <v>204</v>
      </c>
      <c r="D126" s="9" t="s">
        <v>108</v>
      </c>
      <c r="E126" s="9" t="s">
        <v>109</v>
      </c>
      <c r="F126" s="16" t="s">
        <v>161</v>
      </c>
      <c r="G126" s="16" t="s">
        <v>120</v>
      </c>
      <c r="H126" s="16" t="s">
        <v>120</v>
      </c>
      <c r="I126" s="10" t="s">
        <v>28</v>
      </c>
      <c r="J126" s="9" t="s">
        <v>112</v>
      </c>
    </row>
    <row r="127" customFormat="false" ht="15" hidden="false" customHeight="false" outlineLevel="0" collapsed="false">
      <c r="A127" s="16" t="s">
        <v>206</v>
      </c>
      <c r="B127" s="16" t="s">
        <v>206</v>
      </c>
      <c r="C127" s="9" t="s">
        <v>204</v>
      </c>
      <c r="D127" s="9" t="s">
        <v>108</v>
      </c>
      <c r="E127" s="9" t="s">
        <v>109</v>
      </c>
      <c r="F127" s="16" t="s">
        <v>250</v>
      </c>
      <c r="G127" s="16" t="s">
        <v>111</v>
      </c>
      <c r="H127" s="16" t="s">
        <v>111</v>
      </c>
      <c r="I127" s="10" t="s">
        <v>28</v>
      </c>
      <c r="J127" s="9" t="s">
        <v>112</v>
      </c>
    </row>
    <row r="128" customFormat="false" ht="15" hidden="false" customHeight="false" outlineLevel="0" collapsed="false">
      <c r="A128" s="16" t="s">
        <v>206</v>
      </c>
      <c r="B128" s="16" t="s">
        <v>206</v>
      </c>
      <c r="C128" s="9" t="s">
        <v>204</v>
      </c>
      <c r="D128" s="9" t="s">
        <v>108</v>
      </c>
      <c r="E128" s="9" t="s">
        <v>109</v>
      </c>
      <c r="F128" s="16" t="s">
        <v>251</v>
      </c>
      <c r="G128" s="16" t="s">
        <v>111</v>
      </c>
      <c r="H128" s="16" t="s">
        <v>111</v>
      </c>
      <c r="I128" s="10" t="s">
        <v>28</v>
      </c>
      <c r="J128" s="9" t="s">
        <v>112</v>
      </c>
    </row>
    <row r="129" customFormat="false" ht="15" hidden="false" customHeight="false" outlineLevel="0" collapsed="false">
      <c r="A129" s="16" t="s">
        <v>206</v>
      </c>
      <c r="B129" s="16" t="s">
        <v>206</v>
      </c>
      <c r="C129" s="9" t="s">
        <v>204</v>
      </c>
      <c r="D129" s="9" t="s">
        <v>108</v>
      </c>
      <c r="E129" s="9" t="s">
        <v>109</v>
      </c>
      <c r="F129" s="16" t="s">
        <v>252</v>
      </c>
      <c r="G129" s="16" t="s">
        <v>120</v>
      </c>
      <c r="H129" s="16" t="s">
        <v>120</v>
      </c>
      <c r="I129" s="10" t="s">
        <v>28</v>
      </c>
      <c r="J129" s="9" t="s">
        <v>112</v>
      </c>
    </row>
    <row r="130" customFormat="false" ht="15" hidden="false" customHeight="false" outlineLevel="0" collapsed="false">
      <c r="A130" s="16" t="s">
        <v>206</v>
      </c>
      <c r="B130" s="16" t="s">
        <v>206</v>
      </c>
      <c r="C130" s="9" t="s">
        <v>204</v>
      </c>
      <c r="D130" s="9" t="s">
        <v>108</v>
      </c>
      <c r="E130" s="9" t="s">
        <v>109</v>
      </c>
      <c r="F130" s="16" t="s">
        <v>253</v>
      </c>
      <c r="G130" s="16" t="s">
        <v>120</v>
      </c>
      <c r="H130" s="16" t="s">
        <v>120</v>
      </c>
      <c r="I130" s="10" t="s">
        <v>28</v>
      </c>
      <c r="J130" s="9" t="s">
        <v>112</v>
      </c>
    </row>
    <row r="131" customFormat="false" ht="15" hidden="false" customHeight="false" outlineLevel="0" collapsed="false">
      <c r="A131" s="16" t="s">
        <v>206</v>
      </c>
      <c r="B131" s="16" t="s">
        <v>206</v>
      </c>
      <c r="C131" s="9" t="s">
        <v>204</v>
      </c>
      <c r="D131" s="9" t="s">
        <v>108</v>
      </c>
      <c r="E131" s="9" t="s">
        <v>109</v>
      </c>
      <c r="F131" s="16" t="s">
        <v>254</v>
      </c>
      <c r="G131" s="16" t="s">
        <v>120</v>
      </c>
      <c r="H131" s="16" t="s">
        <v>120</v>
      </c>
      <c r="I131" s="10" t="s">
        <v>28</v>
      </c>
      <c r="J131" s="9" t="s">
        <v>112</v>
      </c>
    </row>
    <row r="132" customFormat="false" ht="15" hidden="false" customHeight="false" outlineLevel="0" collapsed="false">
      <c r="A132" s="16" t="s">
        <v>206</v>
      </c>
      <c r="B132" s="16" t="s">
        <v>206</v>
      </c>
      <c r="C132" s="9" t="s">
        <v>204</v>
      </c>
      <c r="D132" s="9" t="s">
        <v>108</v>
      </c>
      <c r="E132" s="9" t="s">
        <v>109</v>
      </c>
      <c r="F132" s="16" t="s">
        <v>255</v>
      </c>
      <c r="G132" s="16" t="s">
        <v>111</v>
      </c>
      <c r="H132" s="16" t="s">
        <v>111</v>
      </c>
      <c r="I132" s="10" t="s">
        <v>28</v>
      </c>
      <c r="J132" s="9" t="s">
        <v>112</v>
      </c>
    </row>
    <row r="133" customFormat="false" ht="15" hidden="false" customHeight="false" outlineLevel="0" collapsed="false">
      <c r="A133" s="16" t="s">
        <v>206</v>
      </c>
      <c r="B133" s="16" t="s">
        <v>206</v>
      </c>
      <c r="C133" s="9" t="s">
        <v>204</v>
      </c>
      <c r="D133" s="9" t="s">
        <v>108</v>
      </c>
      <c r="E133" s="9" t="s">
        <v>109</v>
      </c>
      <c r="F133" s="16" t="s">
        <v>256</v>
      </c>
      <c r="G133" s="16" t="s">
        <v>111</v>
      </c>
      <c r="H133" s="16" t="s">
        <v>111</v>
      </c>
      <c r="I133" s="10" t="s">
        <v>28</v>
      </c>
      <c r="J133" s="9" t="s">
        <v>112</v>
      </c>
    </row>
    <row r="134" customFormat="false" ht="15" hidden="false" customHeight="false" outlineLevel="0" collapsed="false">
      <c r="A134" s="16" t="s">
        <v>206</v>
      </c>
      <c r="B134" s="16" t="s">
        <v>206</v>
      </c>
      <c r="C134" s="9" t="s">
        <v>204</v>
      </c>
      <c r="D134" s="9" t="s">
        <v>108</v>
      </c>
      <c r="E134" s="9" t="s">
        <v>109</v>
      </c>
      <c r="F134" s="16" t="s">
        <v>257</v>
      </c>
      <c r="G134" s="16" t="s">
        <v>120</v>
      </c>
      <c r="H134" s="16" t="s">
        <v>120</v>
      </c>
      <c r="I134" s="10" t="s">
        <v>28</v>
      </c>
      <c r="J134" s="9" t="s">
        <v>112</v>
      </c>
    </row>
    <row r="135" customFormat="false" ht="15" hidden="false" customHeight="false" outlineLevel="0" collapsed="false">
      <c r="A135" s="16" t="s">
        <v>206</v>
      </c>
      <c r="B135" s="16" t="s">
        <v>206</v>
      </c>
      <c r="C135" s="9" t="s">
        <v>204</v>
      </c>
      <c r="D135" s="9" t="s">
        <v>108</v>
      </c>
      <c r="E135" s="9" t="s">
        <v>109</v>
      </c>
      <c r="F135" s="16" t="s">
        <v>168</v>
      </c>
      <c r="G135" s="16" t="s">
        <v>111</v>
      </c>
      <c r="H135" s="16" t="s">
        <v>111</v>
      </c>
      <c r="I135" s="10" t="s">
        <v>28</v>
      </c>
      <c r="J135" s="9" t="s">
        <v>112</v>
      </c>
    </row>
    <row r="136" customFormat="false" ht="15" hidden="false" customHeight="false" outlineLevel="0" collapsed="false">
      <c r="A136" s="16" t="s">
        <v>206</v>
      </c>
      <c r="B136" s="16" t="s">
        <v>206</v>
      </c>
      <c r="C136" s="9" t="s">
        <v>204</v>
      </c>
      <c r="D136" s="9" t="s">
        <v>108</v>
      </c>
      <c r="E136" s="9" t="s">
        <v>109</v>
      </c>
      <c r="F136" s="16" t="s">
        <v>169</v>
      </c>
      <c r="G136" s="16" t="s">
        <v>120</v>
      </c>
      <c r="H136" s="16" t="s">
        <v>120</v>
      </c>
      <c r="I136" s="10" t="s">
        <v>28</v>
      </c>
      <c r="J136" s="9" t="s">
        <v>112</v>
      </c>
    </row>
    <row r="137" customFormat="false" ht="15" hidden="false" customHeight="false" outlineLevel="0" collapsed="false">
      <c r="A137" s="16" t="s">
        <v>206</v>
      </c>
      <c r="B137" s="16" t="s">
        <v>206</v>
      </c>
      <c r="C137" s="9" t="s">
        <v>204</v>
      </c>
      <c r="D137" s="9" t="s">
        <v>108</v>
      </c>
      <c r="E137" s="9" t="s">
        <v>109</v>
      </c>
      <c r="F137" s="16" t="s">
        <v>171</v>
      </c>
      <c r="G137" s="16" t="s">
        <v>120</v>
      </c>
      <c r="H137" s="16" t="s">
        <v>120</v>
      </c>
      <c r="I137" s="10" t="s">
        <v>28</v>
      </c>
      <c r="J137" s="9" t="s">
        <v>112</v>
      </c>
    </row>
    <row r="138" customFormat="false" ht="15" hidden="false" customHeight="false" outlineLevel="0" collapsed="false">
      <c r="A138" s="16" t="s">
        <v>206</v>
      </c>
      <c r="B138" s="16" t="s">
        <v>206</v>
      </c>
      <c r="C138" s="9" t="s">
        <v>204</v>
      </c>
      <c r="D138" s="9" t="s">
        <v>108</v>
      </c>
      <c r="E138" s="9" t="s">
        <v>109</v>
      </c>
      <c r="F138" s="16" t="s">
        <v>258</v>
      </c>
      <c r="G138" s="16" t="s">
        <v>120</v>
      </c>
      <c r="H138" s="16" t="s">
        <v>120</v>
      </c>
      <c r="I138" s="10" t="s">
        <v>28</v>
      </c>
      <c r="J138" s="9" t="s">
        <v>112</v>
      </c>
    </row>
    <row r="139" customFormat="false" ht="15" hidden="false" customHeight="false" outlineLevel="0" collapsed="false">
      <c r="A139" s="16" t="s">
        <v>206</v>
      </c>
      <c r="B139" s="16" t="s">
        <v>206</v>
      </c>
      <c r="C139" s="9" t="s">
        <v>204</v>
      </c>
      <c r="D139" s="9" t="s">
        <v>108</v>
      </c>
      <c r="E139" s="9" t="s">
        <v>109</v>
      </c>
      <c r="F139" s="16" t="s">
        <v>259</v>
      </c>
      <c r="G139" s="16" t="s">
        <v>120</v>
      </c>
      <c r="H139" s="16" t="s">
        <v>120</v>
      </c>
      <c r="I139" s="10" t="s">
        <v>28</v>
      </c>
      <c r="J139" s="9" t="s">
        <v>112</v>
      </c>
    </row>
    <row r="140" customFormat="false" ht="15" hidden="false" customHeight="false" outlineLevel="0" collapsed="false">
      <c r="A140" s="16" t="s">
        <v>206</v>
      </c>
      <c r="B140" s="16" t="s">
        <v>206</v>
      </c>
      <c r="C140" s="9" t="s">
        <v>204</v>
      </c>
      <c r="D140" s="9" t="s">
        <v>108</v>
      </c>
      <c r="E140" s="9" t="s">
        <v>109</v>
      </c>
      <c r="F140" s="16" t="s">
        <v>173</v>
      </c>
      <c r="G140" s="16" t="s">
        <v>111</v>
      </c>
      <c r="H140" s="16" t="s">
        <v>111</v>
      </c>
      <c r="I140" s="10" t="s">
        <v>28</v>
      </c>
      <c r="J140" s="9" t="s">
        <v>112</v>
      </c>
    </row>
    <row r="141" customFormat="false" ht="15" hidden="false" customHeight="false" outlineLevel="0" collapsed="false">
      <c r="A141" s="16" t="s">
        <v>206</v>
      </c>
      <c r="B141" s="16" t="s">
        <v>206</v>
      </c>
      <c r="C141" s="9" t="s">
        <v>204</v>
      </c>
      <c r="D141" s="9" t="s">
        <v>108</v>
      </c>
      <c r="E141" s="9" t="s">
        <v>109</v>
      </c>
      <c r="F141" s="16" t="s">
        <v>175</v>
      </c>
      <c r="G141" s="16" t="s">
        <v>111</v>
      </c>
      <c r="H141" s="16" t="s">
        <v>111</v>
      </c>
      <c r="I141" s="10" t="s">
        <v>28</v>
      </c>
      <c r="J141" s="9" t="s">
        <v>112</v>
      </c>
    </row>
    <row r="142" customFormat="false" ht="15" hidden="false" customHeight="false" outlineLevel="0" collapsed="false">
      <c r="A142" s="16" t="s">
        <v>206</v>
      </c>
      <c r="B142" s="16" t="s">
        <v>206</v>
      </c>
      <c r="C142" s="9" t="s">
        <v>204</v>
      </c>
      <c r="D142" s="9" t="s">
        <v>108</v>
      </c>
      <c r="E142" s="9" t="s">
        <v>109</v>
      </c>
      <c r="F142" s="16" t="s">
        <v>176</v>
      </c>
      <c r="G142" s="16" t="s">
        <v>120</v>
      </c>
      <c r="H142" s="16" t="s">
        <v>120</v>
      </c>
      <c r="I142" s="10" t="s">
        <v>28</v>
      </c>
      <c r="J142" s="9" t="s">
        <v>112</v>
      </c>
    </row>
    <row r="143" customFormat="false" ht="15" hidden="false" customHeight="false" outlineLevel="0" collapsed="false">
      <c r="A143" s="16" t="s">
        <v>206</v>
      </c>
      <c r="B143" s="16" t="s">
        <v>206</v>
      </c>
      <c r="C143" s="9" t="s">
        <v>204</v>
      </c>
      <c r="D143" s="9" t="s">
        <v>108</v>
      </c>
      <c r="E143" s="9" t="s">
        <v>109</v>
      </c>
      <c r="F143" s="16" t="s">
        <v>260</v>
      </c>
      <c r="G143" s="16" t="s">
        <v>164</v>
      </c>
      <c r="H143" s="16" t="s">
        <v>164</v>
      </c>
      <c r="I143" s="10" t="s">
        <v>28</v>
      </c>
      <c r="J143" s="9" t="s">
        <v>112</v>
      </c>
    </row>
    <row r="144" customFormat="false" ht="15" hidden="false" customHeight="false" outlineLevel="0" collapsed="false">
      <c r="A144" s="16" t="s">
        <v>206</v>
      </c>
      <c r="B144" s="16" t="s">
        <v>206</v>
      </c>
      <c r="C144" s="9" t="s">
        <v>204</v>
      </c>
      <c r="D144" s="9" t="s">
        <v>108</v>
      </c>
      <c r="E144" s="9" t="s">
        <v>109</v>
      </c>
      <c r="F144" s="16" t="s">
        <v>179</v>
      </c>
      <c r="G144" s="16" t="s">
        <v>120</v>
      </c>
      <c r="H144" s="16" t="s">
        <v>120</v>
      </c>
      <c r="I144" s="10" t="s">
        <v>28</v>
      </c>
      <c r="J144" s="9" t="s">
        <v>112</v>
      </c>
    </row>
    <row r="145" customFormat="false" ht="15" hidden="false" customHeight="false" outlineLevel="0" collapsed="false">
      <c r="A145" s="16" t="s">
        <v>206</v>
      </c>
      <c r="B145" s="16" t="s">
        <v>206</v>
      </c>
      <c r="C145" s="9" t="s">
        <v>204</v>
      </c>
      <c r="D145" s="9" t="s">
        <v>108</v>
      </c>
      <c r="E145" s="9" t="s">
        <v>109</v>
      </c>
      <c r="F145" s="16" t="s">
        <v>261</v>
      </c>
      <c r="G145" s="16" t="s">
        <v>128</v>
      </c>
      <c r="H145" s="16" t="s">
        <v>128</v>
      </c>
      <c r="I145" s="10" t="s">
        <v>28</v>
      </c>
      <c r="J145" s="9" t="s">
        <v>112</v>
      </c>
    </row>
    <row r="146" customFormat="false" ht="15" hidden="false" customHeight="false" outlineLevel="0" collapsed="false">
      <c r="A146" s="16" t="s">
        <v>206</v>
      </c>
      <c r="B146" s="16" t="s">
        <v>206</v>
      </c>
      <c r="C146" s="9" t="s">
        <v>204</v>
      </c>
      <c r="D146" s="9" t="s">
        <v>108</v>
      </c>
      <c r="E146" s="9" t="s">
        <v>109</v>
      </c>
      <c r="F146" s="16" t="s">
        <v>262</v>
      </c>
      <c r="G146" s="16" t="s">
        <v>120</v>
      </c>
      <c r="H146" s="16" t="s">
        <v>120</v>
      </c>
      <c r="I146" s="10" t="s">
        <v>28</v>
      </c>
      <c r="J146" s="9" t="s">
        <v>112</v>
      </c>
    </row>
    <row r="147" customFormat="false" ht="15" hidden="false" customHeight="false" outlineLevel="0" collapsed="false">
      <c r="A147" s="16" t="s">
        <v>206</v>
      </c>
      <c r="B147" s="16" t="s">
        <v>206</v>
      </c>
      <c r="C147" s="9" t="s">
        <v>204</v>
      </c>
      <c r="D147" s="9" t="s">
        <v>108</v>
      </c>
      <c r="E147" s="9" t="s">
        <v>109</v>
      </c>
      <c r="F147" s="16" t="s">
        <v>263</v>
      </c>
      <c r="G147" s="16" t="s">
        <v>120</v>
      </c>
      <c r="H147" s="16" t="s">
        <v>120</v>
      </c>
      <c r="I147" s="10" t="s">
        <v>28</v>
      </c>
      <c r="J147" s="9" t="s">
        <v>112</v>
      </c>
    </row>
    <row r="148" customFormat="false" ht="15" hidden="false" customHeight="false" outlineLevel="0" collapsed="false">
      <c r="A148" s="16" t="s">
        <v>206</v>
      </c>
      <c r="B148" s="16" t="s">
        <v>206</v>
      </c>
      <c r="C148" s="9" t="s">
        <v>204</v>
      </c>
      <c r="D148" s="9" t="s">
        <v>108</v>
      </c>
      <c r="E148" s="9" t="s">
        <v>109</v>
      </c>
      <c r="F148" s="16" t="s">
        <v>264</v>
      </c>
      <c r="G148" s="16" t="s">
        <v>120</v>
      </c>
      <c r="H148" s="16" t="s">
        <v>120</v>
      </c>
      <c r="I148" s="10" t="s">
        <v>28</v>
      </c>
      <c r="J148" s="9" t="s">
        <v>112</v>
      </c>
    </row>
    <row r="149" customFormat="false" ht="15" hidden="false" customHeight="false" outlineLevel="0" collapsed="false">
      <c r="A149" s="16" t="s">
        <v>206</v>
      </c>
      <c r="B149" s="16" t="s">
        <v>206</v>
      </c>
      <c r="C149" s="9" t="s">
        <v>204</v>
      </c>
      <c r="D149" s="9" t="s">
        <v>108</v>
      </c>
      <c r="E149" s="9" t="s">
        <v>109</v>
      </c>
      <c r="F149" s="16" t="s">
        <v>202</v>
      </c>
      <c r="G149" s="16" t="s">
        <v>120</v>
      </c>
      <c r="H149" s="16" t="s">
        <v>120</v>
      </c>
      <c r="I149" s="10" t="s">
        <v>28</v>
      </c>
      <c r="J149" s="9" t="s">
        <v>112</v>
      </c>
    </row>
    <row r="150" customFormat="false" ht="15" hidden="false" customHeight="false" outlineLevel="0" collapsed="false">
      <c r="A150" s="16" t="s">
        <v>206</v>
      </c>
      <c r="B150" s="16" t="s">
        <v>206</v>
      </c>
      <c r="C150" s="9" t="s">
        <v>204</v>
      </c>
      <c r="D150" s="9" t="s">
        <v>108</v>
      </c>
      <c r="E150" s="9" t="s">
        <v>109</v>
      </c>
      <c r="F150" s="16" t="s">
        <v>265</v>
      </c>
      <c r="G150" s="16" t="s">
        <v>111</v>
      </c>
      <c r="H150" s="16" t="s">
        <v>111</v>
      </c>
      <c r="I150" s="10" t="s">
        <v>28</v>
      </c>
      <c r="J150" s="9" t="s">
        <v>112</v>
      </c>
    </row>
    <row r="151" customFormat="false" ht="15" hidden="false" customHeight="false" outlineLevel="0" collapsed="false">
      <c r="A151" s="16" t="s">
        <v>206</v>
      </c>
      <c r="B151" s="16" t="s">
        <v>206</v>
      </c>
      <c r="C151" s="9" t="s">
        <v>204</v>
      </c>
      <c r="D151" s="9" t="s">
        <v>108</v>
      </c>
      <c r="E151" s="9" t="s">
        <v>109</v>
      </c>
      <c r="F151" s="16" t="s">
        <v>266</v>
      </c>
      <c r="G151" s="16" t="s">
        <v>120</v>
      </c>
      <c r="H151" s="16" t="s">
        <v>120</v>
      </c>
      <c r="I151" s="10" t="s">
        <v>28</v>
      </c>
      <c r="J151" s="9" t="s">
        <v>112</v>
      </c>
    </row>
    <row r="152" customFormat="false" ht="15" hidden="false" customHeight="false" outlineLevel="0" collapsed="false">
      <c r="A152" s="16" t="s">
        <v>206</v>
      </c>
      <c r="B152" s="16" t="s">
        <v>206</v>
      </c>
      <c r="C152" s="9" t="s">
        <v>204</v>
      </c>
      <c r="D152" s="9" t="s">
        <v>108</v>
      </c>
      <c r="E152" s="9" t="s">
        <v>109</v>
      </c>
      <c r="F152" s="16" t="s">
        <v>181</v>
      </c>
      <c r="G152" s="16" t="s">
        <v>120</v>
      </c>
      <c r="H152" s="16" t="s">
        <v>120</v>
      </c>
      <c r="I152" s="10" t="s">
        <v>28</v>
      </c>
      <c r="J152" s="9" t="s">
        <v>112</v>
      </c>
    </row>
    <row r="153" customFormat="false" ht="15" hidden="false" customHeight="false" outlineLevel="0" collapsed="false">
      <c r="A153" s="16" t="s">
        <v>206</v>
      </c>
      <c r="B153" s="16" t="s">
        <v>206</v>
      </c>
      <c r="C153" s="9" t="s">
        <v>204</v>
      </c>
      <c r="D153" s="9" t="s">
        <v>108</v>
      </c>
      <c r="E153" s="9" t="s">
        <v>109</v>
      </c>
      <c r="F153" s="16" t="s">
        <v>183</v>
      </c>
      <c r="G153" s="16" t="s">
        <v>120</v>
      </c>
      <c r="H153" s="16" t="s">
        <v>120</v>
      </c>
      <c r="I153" s="10" t="s">
        <v>28</v>
      </c>
      <c r="J153" s="9" t="s">
        <v>112</v>
      </c>
    </row>
    <row r="154" customFormat="false" ht="15" hidden="false" customHeight="false" outlineLevel="0" collapsed="false">
      <c r="A154" s="16" t="s">
        <v>206</v>
      </c>
      <c r="B154" s="16" t="s">
        <v>206</v>
      </c>
      <c r="C154" s="9" t="s">
        <v>204</v>
      </c>
      <c r="D154" s="9" t="s">
        <v>108</v>
      </c>
      <c r="E154" s="9" t="s">
        <v>109</v>
      </c>
      <c r="F154" s="16" t="s">
        <v>184</v>
      </c>
      <c r="G154" s="16" t="s">
        <v>111</v>
      </c>
      <c r="H154" s="16" t="s">
        <v>111</v>
      </c>
      <c r="I154" s="10" t="s">
        <v>28</v>
      </c>
      <c r="J154" s="9" t="s">
        <v>112</v>
      </c>
    </row>
    <row r="155" customFormat="false" ht="15" hidden="false" customHeight="false" outlineLevel="0" collapsed="false">
      <c r="A155" s="16" t="s">
        <v>206</v>
      </c>
      <c r="B155" s="16" t="s">
        <v>206</v>
      </c>
      <c r="C155" s="9" t="s">
        <v>204</v>
      </c>
      <c r="D155" s="9" t="s">
        <v>108</v>
      </c>
      <c r="E155" s="9" t="s">
        <v>109</v>
      </c>
      <c r="F155" s="16" t="s">
        <v>267</v>
      </c>
      <c r="G155" s="16" t="s">
        <v>120</v>
      </c>
      <c r="H155" s="16" t="s">
        <v>120</v>
      </c>
      <c r="I155" s="10" t="s">
        <v>28</v>
      </c>
      <c r="J155" s="9" t="s">
        <v>112</v>
      </c>
    </row>
    <row r="156" customFormat="false" ht="15" hidden="false" customHeight="false" outlineLevel="0" collapsed="false">
      <c r="A156" s="16" t="s">
        <v>206</v>
      </c>
      <c r="B156" s="16" t="s">
        <v>206</v>
      </c>
      <c r="C156" s="9" t="s">
        <v>204</v>
      </c>
      <c r="D156" s="9" t="s">
        <v>108</v>
      </c>
      <c r="E156" s="9" t="s">
        <v>109</v>
      </c>
      <c r="F156" s="16" t="s">
        <v>268</v>
      </c>
      <c r="G156" s="16" t="s">
        <v>120</v>
      </c>
      <c r="H156" s="16" t="s">
        <v>120</v>
      </c>
      <c r="I156" s="10" t="s">
        <v>28</v>
      </c>
      <c r="J156" s="9" t="s">
        <v>112</v>
      </c>
    </row>
    <row r="157" customFormat="false" ht="15" hidden="false" customHeight="false" outlineLevel="0" collapsed="false">
      <c r="A157" s="16" t="s">
        <v>206</v>
      </c>
      <c r="B157" s="16" t="s">
        <v>206</v>
      </c>
      <c r="C157" s="9" t="s">
        <v>204</v>
      </c>
      <c r="D157" s="9" t="s">
        <v>108</v>
      </c>
      <c r="E157" s="9" t="s">
        <v>109</v>
      </c>
      <c r="F157" s="16" t="s">
        <v>269</v>
      </c>
      <c r="G157" s="16" t="s">
        <v>120</v>
      </c>
      <c r="H157" s="16" t="s">
        <v>120</v>
      </c>
      <c r="I157" s="10" t="s">
        <v>28</v>
      </c>
      <c r="J157" s="9" t="s">
        <v>112</v>
      </c>
    </row>
    <row r="158" customFormat="false" ht="15" hidden="false" customHeight="false" outlineLevel="0" collapsed="false">
      <c r="A158" s="16" t="s">
        <v>206</v>
      </c>
      <c r="B158" s="16" t="s">
        <v>206</v>
      </c>
      <c r="C158" s="9" t="s">
        <v>204</v>
      </c>
      <c r="D158" s="9" t="s">
        <v>108</v>
      </c>
      <c r="E158" s="9" t="s">
        <v>109</v>
      </c>
      <c r="F158" s="16" t="s">
        <v>270</v>
      </c>
      <c r="G158" s="16" t="s">
        <v>120</v>
      </c>
      <c r="H158" s="16" t="s">
        <v>120</v>
      </c>
      <c r="I158" s="10" t="s">
        <v>28</v>
      </c>
      <c r="J158" s="9" t="s">
        <v>112</v>
      </c>
    </row>
    <row r="159" customFormat="false" ht="15" hidden="false" customHeight="false" outlineLevel="0" collapsed="false">
      <c r="A159" s="16" t="s">
        <v>206</v>
      </c>
      <c r="B159" s="16" t="s">
        <v>206</v>
      </c>
      <c r="C159" s="9" t="s">
        <v>204</v>
      </c>
      <c r="D159" s="9" t="s">
        <v>108</v>
      </c>
      <c r="E159" s="9" t="s">
        <v>109</v>
      </c>
      <c r="F159" s="16" t="s">
        <v>186</v>
      </c>
      <c r="G159" s="16" t="s">
        <v>120</v>
      </c>
      <c r="H159" s="16" t="s">
        <v>120</v>
      </c>
      <c r="I159" s="10" t="s">
        <v>28</v>
      </c>
      <c r="J159" s="9" t="s">
        <v>112</v>
      </c>
    </row>
    <row r="160" customFormat="false" ht="15" hidden="false" customHeight="false" outlineLevel="0" collapsed="false">
      <c r="A160" s="16" t="s">
        <v>206</v>
      </c>
      <c r="B160" s="16" t="s">
        <v>206</v>
      </c>
      <c r="C160" s="9" t="s">
        <v>204</v>
      </c>
      <c r="D160" s="9" t="s">
        <v>108</v>
      </c>
      <c r="E160" s="9" t="s">
        <v>109</v>
      </c>
      <c r="F160" s="16" t="s">
        <v>271</v>
      </c>
      <c r="G160" s="16" t="s">
        <v>111</v>
      </c>
      <c r="H160" s="16" t="s">
        <v>111</v>
      </c>
      <c r="I160" s="10" t="s">
        <v>28</v>
      </c>
      <c r="J160" s="9" t="s">
        <v>112</v>
      </c>
    </row>
    <row r="161" customFormat="false" ht="15" hidden="false" customHeight="false" outlineLevel="0" collapsed="false">
      <c r="A161" s="16" t="s">
        <v>206</v>
      </c>
      <c r="B161" s="16" t="s">
        <v>206</v>
      </c>
      <c r="C161" s="9" t="s">
        <v>204</v>
      </c>
      <c r="D161" s="9" t="s">
        <v>108</v>
      </c>
      <c r="E161" s="9" t="s">
        <v>109</v>
      </c>
      <c r="F161" s="16" t="s">
        <v>272</v>
      </c>
      <c r="G161" s="16" t="s">
        <v>120</v>
      </c>
      <c r="H161" s="16" t="s">
        <v>120</v>
      </c>
      <c r="I161" s="10" t="s">
        <v>28</v>
      </c>
      <c r="J161" s="9" t="s">
        <v>112</v>
      </c>
    </row>
    <row r="162" customFormat="false" ht="15" hidden="false" customHeight="false" outlineLevel="0" collapsed="false">
      <c r="A162" s="16" t="s">
        <v>206</v>
      </c>
      <c r="B162" s="16" t="s">
        <v>206</v>
      </c>
      <c r="C162" s="9" t="s">
        <v>204</v>
      </c>
      <c r="D162" s="9" t="s">
        <v>108</v>
      </c>
      <c r="E162" s="9" t="s">
        <v>109</v>
      </c>
      <c r="F162" s="16" t="s">
        <v>273</v>
      </c>
      <c r="G162" s="16" t="s">
        <v>120</v>
      </c>
      <c r="H162" s="16" t="s">
        <v>120</v>
      </c>
      <c r="I162" s="10" t="s">
        <v>28</v>
      </c>
      <c r="J162" s="9" t="s">
        <v>112</v>
      </c>
    </row>
    <row r="163" customFormat="false" ht="15" hidden="false" customHeight="false" outlineLevel="0" collapsed="false">
      <c r="A163" s="16" t="s">
        <v>206</v>
      </c>
      <c r="B163" s="16" t="s">
        <v>206</v>
      </c>
      <c r="C163" s="9" t="s">
        <v>204</v>
      </c>
      <c r="D163" s="9" t="s">
        <v>108</v>
      </c>
      <c r="E163" s="9" t="s">
        <v>109</v>
      </c>
      <c r="F163" s="16" t="s">
        <v>274</v>
      </c>
      <c r="G163" s="16" t="s">
        <v>120</v>
      </c>
      <c r="H163" s="16" t="s">
        <v>120</v>
      </c>
      <c r="I163" s="10" t="s">
        <v>28</v>
      </c>
      <c r="J163" s="9" t="s">
        <v>112</v>
      </c>
    </row>
    <row r="164" customFormat="false" ht="15" hidden="false" customHeight="false" outlineLevel="0" collapsed="false">
      <c r="A164" s="16" t="s">
        <v>206</v>
      </c>
      <c r="B164" s="16" t="s">
        <v>206</v>
      </c>
      <c r="C164" s="9" t="s">
        <v>204</v>
      </c>
      <c r="D164" s="9" t="s">
        <v>108</v>
      </c>
      <c r="E164" s="9" t="s">
        <v>109</v>
      </c>
      <c r="F164" s="16" t="s">
        <v>275</v>
      </c>
      <c r="G164" s="16" t="s">
        <v>149</v>
      </c>
      <c r="H164" s="16" t="s">
        <v>149</v>
      </c>
      <c r="I164" s="10" t="s">
        <v>28</v>
      </c>
      <c r="J164" s="9" t="s">
        <v>112</v>
      </c>
    </row>
    <row r="165" customFormat="false" ht="15" hidden="false" customHeight="false" outlineLevel="0" collapsed="false">
      <c r="A165" s="16" t="s">
        <v>206</v>
      </c>
      <c r="B165" s="16" t="s">
        <v>206</v>
      </c>
      <c r="C165" s="9" t="s">
        <v>204</v>
      </c>
      <c r="D165" s="9" t="s">
        <v>108</v>
      </c>
      <c r="E165" s="9" t="s">
        <v>109</v>
      </c>
      <c r="F165" s="16" t="s">
        <v>276</v>
      </c>
      <c r="G165" s="16" t="s">
        <v>120</v>
      </c>
      <c r="H165" s="16" t="s">
        <v>120</v>
      </c>
      <c r="I165" s="10" t="s">
        <v>28</v>
      </c>
      <c r="J165" s="9" t="s">
        <v>112</v>
      </c>
    </row>
    <row r="166" customFormat="false" ht="15" hidden="false" customHeight="false" outlineLevel="0" collapsed="false">
      <c r="A166" s="16" t="s">
        <v>206</v>
      </c>
      <c r="B166" s="16" t="s">
        <v>206</v>
      </c>
      <c r="C166" s="9" t="s">
        <v>204</v>
      </c>
      <c r="D166" s="9" t="s">
        <v>108</v>
      </c>
      <c r="E166" s="9" t="s">
        <v>109</v>
      </c>
      <c r="F166" s="16" t="s">
        <v>277</v>
      </c>
      <c r="G166" s="16" t="s">
        <v>120</v>
      </c>
      <c r="H166" s="16" t="s">
        <v>120</v>
      </c>
      <c r="I166" s="10" t="s">
        <v>28</v>
      </c>
      <c r="J166" s="9" t="s">
        <v>112</v>
      </c>
    </row>
    <row r="167" customFormat="false" ht="15" hidden="false" customHeight="false" outlineLevel="0" collapsed="false">
      <c r="A167" s="16" t="s">
        <v>206</v>
      </c>
      <c r="B167" s="16" t="s">
        <v>206</v>
      </c>
      <c r="C167" s="9" t="s">
        <v>204</v>
      </c>
      <c r="D167" s="9" t="s">
        <v>108</v>
      </c>
      <c r="E167" s="9" t="s">
        <v>109</v>
      </c>
      <c r="F167" s="16" t="s">
        <v>278</v>
      </c>
      <c r="G167" s="16" t="s">
        <v>111</v>
      </c>
      <c r="H167" s="16" t="s">
        <v>111</v>
      </c>
      <c r="I167" s="10" t="s">
        <v>28</v>
      </c>
      <c r="J167" s="9" t="s">
        <v>112</v>
      </c>
    </row>
    <row r="168" customFormat="false" ht="15" hidden="false" customHeight="false" outlineLevel="0" collapsed="false">
      <c r="A168" s="16" t="s">
        <v>206</v>
      </c>
      <c r="B168" s="16" t="s">
        <v>206</v>
      </c>
      <c r="C168" s="9" t="s">
        <v>204</v>
      </c>
      <c r="D168" s="9" t="s">
        <v>108</v>
      </c>
      <c r="E168" s="9" t="s">
        <v>109</v>
      </c>
      <c r="F168" s="16" t="s">
        <v>279</v>
      </c>
      <c r="G168" s="16" t="s">
        <v>120</v>
      </c>
      <c r="H168" s="16" t="s">
        <v>120</v>
      </c>
      <c r="I168" s="10" t="s">
        <v>28</v>
      </c>
      <c r="J168" s="9" t="s">
        <v>112</v>
      </c>
    </row>
    <row r="169" customFormat="false" ht="15" hidden="false" customHeight="false" outlineLevel="0" collapsed="false">
      <c r="A169" s="16" t="s">
        <v>206</v>
      </c>
      <c r="B169" s="16" t="s">
        <v>206</v>
      </c>
      <c r="C169" s="9" t="s">
        <v>204</v>
      </c>
      <c r="D169" s="9" t="s">
        <v>108</v>
      </c>
      <c r="E169" s="9" t="s">
        <v>109</v>
      </c>
      <c r="F169" s="16" t="s">
        <v>280</v>
      </c>
      <c r="G169" s="16" t="s">
        <v>111</v>
      </c>
      <c r="H169" s="16" t="s">
        <v>111</v>
      </c>
      <c r="I169" s="10" t="s">
        <v>28</v>
      </c>
      <c r="J169" s="9" t="s">
        <v>112</v>
      </c>
    </row>
    <row r="170" customFormat="false" ht="15" hidden="false" customHeight="false" outlineLevel="0" collapsed="false">
      <c r="A170" s="16" t="s">
        <v>206</v>
      </c>
      <c r="B170" s="16" t="s">
        <v>206</v>
      </c>
      <c r="C170" s="9" t="s">
        <v>204</v>
      </c>
      <c r="D170" s="9" t="s">
        <v>108</v>
      </c>
      <c r="E170" s="9" t="s">
        <v>109</v>
      </c>
      <c r="F170" s="16" t="s">
        <v>281</v>
      </c>
      <c r="G170" s="16" t="s">
        <v>120</v>
      </c>
      <c r="H170" s="16" t="s">
        <v>120</v>
      </c>
      <c r="I170" s="10" t="s">
        <v>28</v>
      </c>
      <c r="J170" s="9" t="s">
        <v>112</v>
      </c>
    </row>
    <row r="171" customFormat="false" ht="15" hidden="false" customHeight="false" outlineLevel="0" collapsed="false">
      <c r="A171" s="16" t="s">
        <v>206</v>
      </c>
      <c r="B171" s="16" t="s">
        <v>206</v>
      </c>
      <c r="C171" s="9" t="s">
        <v>204</v>
      </c>
      <c r="D171" s="9" t="s">
        <v>108</v>
      </c>
      <c r="E171" s="9" t="s">
        <v>109</v>
      </c>
      <c r="F171" s="16" t="s">
        <v>282</v>
      </c>
      <c r="G171" s="16" t="s">
        <v>111</v>
      </c>
      <c r="H171" s="16" t="s">
        <v>111</v>
      </c>
      <c r="I171" s="10" t="s">
        <v>28</v>
      </c>
      <c r="J171" s="9" t="s">
        <v>112</v>
      </c>
    </row>
    <row r="172" customFormat="false" ht="15" hidden="false" customHeight="false" outlineLevel="0" collapsed="false">
      <c r="A172" s="16" t="s">
        <v>206</v>
      </c>
      <c r="B172" s="16" t="s">
        <v>206</v>
      </c>
      <c r="C172" s="9" t="s">
        <v>204</v>
      </c>
      <c r="D172" s="9" t="s">
        <v>108</v>
      </c>
      <c r="E172" s="9" t="s">
        <v>109</v>
      </c>
      <c r="F172" s="16" t="s">
        <v>283</v>
      </c>
      <c r="G172" s="16" t="s">
        <v>120</v>
      </c>
      <c r="H172" s="16" t="s">
        <v>120</v>
      </c>
      <c r="I172" s="10" t="s">
        <v>28</v>
      </c>
      <c r="J172" s="9" t="s">
        <v>112</v>
      </c>
    </row>
    <row r="173" customFormat="false" ht="15" hidden="false" customHeight="false" outlineLevel="0" collapsed="false">
      <c r="A173" s="16" t="s">
        <v>206</v>
      </c>
      <c r="B173" s="16" t="s">
        <v>206</v>
      </c>
      <c r="C173" s="9" t="s">
        <v>204</v>
      </c>
      <c r="D173" s="9" t="s">
        <v>108</v>
      </c>
      <c r="E173" s="9" t="s">
        <v>109</v>
      </c>
      <c r="F173" s="16" t="s">
        <v>284</v>
      </c>
      <c r="G173" s="16" t="s">
        <v>111</v>
      </c>
      <c r="H173" s="16" t="s">
        <v>111</v>
      </c>
      <c r="I173" s="10" t="s">
        <v>28</v>
      </c>
      <c r="J173" s="9" t="s">
        <v>112</v>
      </c>
    </row>
    <row r="174" customFormat="false" ht="15" hidden="false" customHeight="false" outlineLevel="0" collapsed="false">
      <c r="A174" s="16" t="s">
        <v>206</v>
      </c>
      <c r="B174" s="16" t="s">
        <v>206</v>
      </c>
      <c r="C174" s="9" t="s">
        <v>204</v>
      </c>
      <c r="D174" s="9" t="s">
        <v>108</v>
      </c>
      <c r="E174" s="9" t="s">
        <v>109</v>
      </c>
      <c r="F174" s="16" t="s">
        <v>285</v>
      </c>
      <c r="G174" s="16" t="s">
        <v>120</v>
      </c>
      <c r="H174" s="16" t="s">
        <v>120</v>
      </c>
      <c r="I174" s="10" t="s">
        <v>28</v>
      </c>
      <c r="J174" s="9" t="s">
        <v>112</v>
      </c>
    </row>
    <row r="175" customFormat="false" ht="15" hidden="false" customHeight="false" outlineLevel="0" collapsed="false">
      <c r="A175" s="16" t="s">
        <v>206</v>
      </c>
      <c r="B175" s="16" t="s">
        <v>206</v>
      </c>
      <c r="C175" s="9" t="s">
        <v>204</v>
      </c>
      <c r="D175" s="9" t="s">
        <v>108</v>
      </c>
      <c r="E175" s="9" t="s">
        <v>109</v>
      </c>
      <c r="F175" s="16" t="s">
        <v>286</v>
      </c>
      <c r="G175" s="16" t="s">
        <v>111</v>
      </c>
      <c r="H175" s="16" t="s">
        <v>111</v>
      </c>
      <c r="I175" s="10" t="s">
        <v>28</v>
      </c>
      <c r="J175" s="9" t="s">
        <v>112</v>
      </c>
    </row>
    <row r="176" customFormat="false" ht="15" hidden="false" customHeight="false" outlineLevel="0" collapsed="false">
      <c r="A176" s="16" t="s">
        <v>206</v>
      </c>
      <c r="B176" s="16" t="s">
        <v>206</v>
      </c>
      <c r="C176" s="9" t="s">
        <v>204</v>
      </c>
      <c r="D176" s="9" t="s">
        <v>108</v>
      </c>
      <c r="E176" s="9" t="s">
        <v>109</v>
      </c>
      <c r="F176" s="16" t="s">
        <v>287</v>
      </c>
      <c r="G176" s="16" t="s">
        <v>120</v>
      </c>
      <c r="H176" s="16" t="s">
        <v>120</v>
      </c>
      <c r="I176" s="10" t="s">
        <v>28</v>
      </c>
      <c r="J176" s="9" t="s">
        <v>112</v>
      </c>
    </row>
    <row r="177" customFormat="false" ht="15" hidden="false" customHeight="false" outlineLevel="0" collapsed="false">
      <c r="A177" s="16" t="s">
        <v>206</v>
      </c>
      <c r="B177" s="16" t="s">
        <v>206</v>
      </c>
      <c r="C177" s="9" t="s">
        <v>204</v>
      </c>
      <c r="D177" s="9" t="s">
        <v>108</v>
      </c>
      <c r="E177" s="9" t="s">
        <v>109</v>
      </c>
      <c r="F177" s="16" t="s">
        <v>288</v>
      </c>
      <c r="G177" s="16" t="s">
        <v>111</v>
      </c>
      <c r="H177" s="16" t="s">
        <v>111</v>
      </c>
      <c r="I177" s="10" t="s">
        <v>28</v>
      </c>
      <c r="J177" s="9" t="s">
        <v>112</v>
      </c>
    </row>
    <row r="178" customFormat="false" ht="15" hidden="false" customHeight="false" outlineLevel="0" collapsed="false">
      <c r="A178" s="16" t="s">
        <v>206</v>
      </c>
      <c r="B178" s="16" t="s">
        <v>206</v>
      </c>
      <c r="C178" s="9" t="s">
        <v>204</v>
      </c>
      <c r="D178" s="9" t="s">
        <v>108</v>
      </c>
      <c r="E178" s="9" t="s">
        <v>109</v>
      </c>
      <c r="F178" s="16" t="s">
        <v>289</v>
      </c>
      <c r="G178" s="16" t="s">
        <v>111</v>
      </c>
      <c r="H178" s="16" t="s">
        <v>111</v>
      </c>
      <c r="I178" s="10" t="s">
        <v>28</v>
      </c>
      <c r="J178" s="9" t="s">
        <v>112</v>
      </c>
    </row>
    <row r="179" customFormat="false" ht="15" hidden="false" customHeight="false" outlineLevel="0" collapsed="false">
      <c r="A179" s="16" t="s">
        <v>206</v>
      </c>
      <c r="B179" s="16" t="s">
        <v>206</v>
      </c>
      <c r="C179" s="9" t="s">
        <v>204</v>
      </c>
      <c r="D179" s="9" t="s">
        <v>108</v>
      </c>
      <c r="E179" s="9" t="s">
        <v>109</v>
      </c>
      <c r="F179" s="16" t="s">
        <v>290</v>
      </c>
      <c r="G179" s="16" t="s">
        <v>111</v>
      </c>
      <c r="H179" s="16" t="s">
        <v>111</v>
      </c>
      <c r="I179" s="10" t="s">
        <v>28</v>
      </c>
      <c r="J179" s="9" t="s">
        <v>112</v>
      </c>
    </row>
    <row r="180" customFormat="false" ht="15" hidden="false" customHeight="false" outlineLevel="0" collapsed="false">
      <c r="A180" s="16" t="s">
        <v>206</v>
      </c>
      <c r="B180" s="16" t="s">
        <v>206</v>
      </c>
      <c r="C180" s="9" t="s">
        <v>204</v>
      </c>
      <c r="D180" s="9" t="s">
        <v>108</v>
      </c>
      <c r="E180" s="9" t="s">
        <v>109</v>
      </c>
      <c r="F180" s="16" t="s">
        <v>291</v>
      </c>
      <c r="G180" s="16" t="s">
        <v>120</v>
      </c>
      <c r="H180" s="16" t="s">
        <v>120</v>
      </c>
      <c r="I180" s="10" t="s">
        <v>28</v>
      </c>
      <c r="J180" s="9" t="s">
        <v>112</v>
      </c>
    </row>
    <row r="181" customFormat="false" ht="15" hidden="false" customHeight="false" outlineLevel="0" collapsed="false">
      <c r="A181" s="16" t="s">
        <v>206</v>
      </c>
      <c r="B181" s="16" t="s">
        <v>206</v>
      </c>
      <c r="C181" s="9" t="s">
        <v>204</v>
      </c>
      <c r="D181" s="9" t="s">
        <v>108</v>
      </c>
      <c r="E181" s="9" t="s">
        <v>109</v>
      </c>
      <c r="F181" s="16" t="s">
        <v>292</v>
      </c>
      <c r="G181" s="16" t="s">
        <v>120</v>
      </c>
      <c r="H181" s="16" t="s">
        <v>120</v>
      </c>
      <c r="I181" s="10" t="s">
        <v>28</v>
      </c>
      <c r="J181" s="9" t="s">
        <v>112</v>
      </c>
    </row>
    <row r="182" customFormat="false" ht="15" hidden="false" customHeight="false" outlineLevel="0" collapsed="false">
      <c r="A182" s="16" t="s">
        <v>206</v>
      </c>
      <c r="B182" s="16" t="s">
        <v>206</v>
      </c>
      <c r="C182" s="9" t="s">
        <v>204</v>
      </c>
      <c r="D182" s="9" t="s">
        <v>108</v>
      </c>
      <c r="E182" s="9" t="s">
        <v>109</v>
      </c>
      <c r="F182" s="16" t="s">
        <v>293</v>
      </c>
      <c r="G182" s="16" t="s">
        <v>120</v>
      </c>
      <c r="H182" s="16" t="s">
        <v>120</v>
      </c>
      <c r="I182" s="10" t="s">
        <v>28</v>
      </c>
      <c r="J182" s="9" t="s">
        <v>112</v>
      </c>
    </row>
    <row r="183" customFormat="false" ht="15" hidden="false" customHeight="false" outlineLevel="0" collapsed="false">
      <c r="A183" s="16" t="s">
        <v>206</v>
      </c>
      <c r="B183" s="16" t="s">
        <v>206</v>
      </c>
      <c r="C183" s="9" t="s">
        <v>204</v>
      </c>
      <c r="D183" s="9" t="s">
        <v>108</v>
      </c>
      <c r="E183" s="9" t="s">
        <v>109</v>
      </c>
      <c r="F183" s="16" t="s">
        <v>294</v>
      </c>
      <c r="G183" s="16" t="s">
        <v>120</v>
      </c>
      <c r="H183" s="16" t="s">
        <v>120</v>
      </c>
      <c r="I183" s="10" t="s">
        <v>28</v>
      </c>
      <c r="J183" s="9" t="s">
        <v>112</v>
      </c>
    </row>
    <row r="184" customFormat="false" ht="15" hidden="false" customHeight="false" outlineLevel="0" collapsed="false">
      <c r="A184" s="16" t="s">
        <v>206</v>
      </c>
      <c r="B184" s="16" t="s">
        <v>206</v>
      </c>
      <c r="C184" s="9" t="s">
        <v>204</v>
      </c>
      <c r="D184" s="9" t="s">
        <v>108</v>
      </c>
      <c r="E184" s="9" t="s">
        <v>109</v>
      </c>
      <c r="F184" s="16" t="s">
        <v>196</v>
      </c>
      <c r="G184" s="16" t="s">
        <v>111</v>
      </c>
      <c r="H184" s="16" t="s">
        <v>111</v>
      </c>
      <c r="I184" s="10" t="s">
        <v>28</v>
      </c>
      <c r="J184" s="9" t="s">
        <v>112</v>
      </c>
    </row>
    <row r="185" customFormat="false" ht="15" hidden="false" customHeight="false" outlineLevel="0" collapsed="false">
      <c r="A185" s="16" t="s">
        <v>206</v>
      </c>
      <c r="B185" s="16" t="s">
        <v>206</v>
      </c>
      <c r="C185" s="9" t="s">
        <v>204</v>
      </c>
      <c r="D185" s="9" t="s">
        <v>108</v>
      </c>
      <c r="E185" s="9" t="s">
        <v>109</v>
      </c>
      <c r="F185" s="16" t="s">
        <v>295</v>
      </c>
      <c r="G185" s="16" t="s">
        <v>111</v>
      </c>
      <c r="H185" s="16" t="s">
        <v>111</v>
      </c>
      <c r="I185" s="10" t="s">
        <v>28</v>
      </c>
      <c r="J185" s="9" t="s">
        <v>112</v>
      </c>
    </row>
    <row r="186" customFormat="false" ht="15" hidden="false" customHeight="false" outlineLevel="0" collapsed="false">
      <c r="A186" s="16" t="s">
        <v>206</v>
      </c>
      <c r="B186" s="16" t="s">
        <v>206</v>
      </c>
      <c r="C186" s="9" t="s">
        <v>204</v>
      </c>
      <c r="D186" s="9" t="s">
        <v>108</v>
      </c>
      <c r="E186" s="9" t="s">
        <v>109</v>
      </c>
      <c r="F186" s="16" t="s">
        <v>296</v>
      </c>
      <c r="G186" s="16" t="s">
        <v>136</v>
      </c>
      <c r="H186" s="16" t="s">
        <v>136</v>
      </c>
      <c r="I186" s="10" t="s">
        <v>28</v>
      </c>
      <c r="J186" s="9" t="s">
        <v>112</v>
      </c>
    </row>
    <row r="187" customFormat="false" ht="15" hidden="false" customHeight="false" outlineLevel="0" collapsed="false">
      <c r="A187" s="16" t="s">
        <v>206</v>
      </c>
      <c r="B187" s="16" t="s">
        <v>206</v>
      </c>
      <c r="C187" s="9" t="s">
        <v>204</v>
      </c>
      <c r="D187" s="9" t="s">
        <v>108</v>
      </c>
      <c r="E187" s="9" t="s">
        <v>109</v>
      </c>
      <c r="F187" s="16" t="s">
        <v>297</v>
      </c>
      <c r="G187" s="16" t="s">
        <v>149</v>
      </c>
      <c r="H187" s="16" t="s">
        <v>149</v>
      </c>
      <c r="I187" s="10" t="s">
        <v>28</v>
      </c>
      <c r="J187" s="9" t="s">
        <v>112</v>
      </c>
    </row>
    <row r="188" customFormat="false" ht="15" hidden="false" customHeight="false" outlineLevel="0" collapsed="false">
      <c r="A188" s="16" t="s">
        <v>206</v>
      </c>
      <c r="B188" s="16" t="s">
        <v>206</v>
      </c>
      <c r="C188" s="9" t="s">
        <v>204</v>
      </c>
      <c r="D188" s="9" t="s">
        <v>108</v>
      </c>
      <c r="E188" s="9" t="s">
        <v>109</v>
      </c>
      <c r="F188" s="16" t="s">
        <v>298</v>
      </c>
      <c r="G188" s="16" t="s">
        <v>120</v>
      </c>
      <c r="H188" s="16" t="s">
        <v>120</v>
      </c>
      <c r="I188" s="10" t="s">
        <v>28</v>
      </c>
      <c r="J188" s="9" t="s">
        <v>112</v>
      </c>
    </row>
    <row r="189" customFormat="false" ht="15" hidden="false" customHeight="false" outlineLevel="0" collapsed="false">
      <c r="A189" s="16" t="s">
        <v>206</v>
      </c>
      <c r="B189" s="16" t="s">
        <v>206</v>
      </c>
      <c r="C189" s="9" t="s">
        <v>204</v>
      </c>
      <c r="D189" s="9" t="s">
        <v>198</v>
      </c>
      <c r="E189" s="9" t="s">
        <v>199</v>
      </c>
      <c r="F189" s="16" t="s">
        <v>34</v>
      </c>
      <c r="G189" s="16" t="s">
        <v>111</v>
      </c>
      <c r="H189" s="16" t="s">
        <v>111</v>
      </c>
      <c r="I189" s="10" t="s">
        <v>28</v>
      </c>
      <c r="J189" s="9" t="s">
        <v>112</v>
      </c>
    </row>
    <row r="190" customFormat="false" ht="15" hidden="false" customHeight="false" outlineLevel="0" collapsed="false">
      <c r="A190" s="16" t="s">
        <v>206</v>
      </c>
      <c r="B190" s="16" t="s">
        <v>206</v>
      </c>
      <c r="C190" s="9" t="s">
        <v>204</v>
      </c>
      <c r="D190" s="9" t="s">
        <v>198</v>
      </c>
      <c r="E190" s="9" t="s">
        <v>199</v>
      </c>
      <c r="F190" s="16" t="s">
        <v>299</v>
      </c>
      <c r="G190" s="16" t="s">
        <v>111</v>
      </c>
      <c r="H190" s="16" t="s">
        <v>111</v>
      </c>
      <c r="I190" s="10" t="s">
        <v>28</v>
      </c>
      <c r="J190" s="9" t="s">
        <v>112</v>
      </c>
    </row>
    <row r="191" customFormat="false" ht="15" hidden="false" customHeight="false" outlineLevel="0" collapsed="false">
      <c r="A191" s="16" t="s">
        <v>206</v>
      </c>
      <c r="B191" s="16" t="s">
        <v>206</v>
      </c>
      <c r="C191" s="9" t="s">
        <v>204</v>
      </c>
      <c r="D191" s="9" t="s">
        <v>198</v>
      </c>
      <c r="E191" s="9" t="s">
        <v>300</v>
      </c>
      <c r="F191" s="16" t="s">
        <v>157</v>
      </c>
      <c r="G191" s="16" t="s">
        <v>111</v>
      </c>
      <c r="H191" s="16" t="s">
        <v>111</v>
      </c>
      <c r="I191" s="10" t="s">
        <v>28</v>
      </c>
      <c r="J191" s="9" t="s">
        <v>112</v>
      </c>
    </row>
    <row r="193" customFormat="false" ht="15" hidden="false" customHeight="false" outlineLevel="0" collapsed="false">
      <c r="F193" s="2" t="s">
        <v>301</v>
      </c>
      <c r="G193" s="2" t="n">
        <f aca="false">COUNTA(G4:G191)</f>
        <v>188</v>
      </c>
      <c r="H193" s="2" t="n">
        <f aca="false">COUNTA(H4:H191)</f>
        <v>188</v>
      </c>
      <c r="I193" s="17" t="n">
        <f aca="false">COUNTIF(I4:I191,"MATCH")</f>
        <v>188</v>
      </c>
    </row>
    <row r="194" customFormat="false" ht="15" hidden="false" customHeight="false" outlineLevel="0" collapsed="false">
      <c r="F194" s="2" t="s">
        <v>302</v>
      </c>
      <c r="G194" s="2" t="n">
        <f aca="false">SUMPRODUCT(VALUE(G4:G191))</f>
        <v>987</v>
      </c>
      <c r="H194" s="2" t="n">
        <f aca="false">SUMPRODUCT(VALUE(H4:H191))</f>
        <v>987</v>
      </c>
      <c r="I194" s="17" t="str">
        <f aca="false">IF(G194=H194,"MATCH","MISMATCH")</f>
        <v>MATCH</v>
      </c>
    </row>
  </sheetData>
  <autoFilter ref="A3:J19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24" hidden="false" customHeight="true" outlineLevel="0" collapsed="false">
      <c r="A1" s="1" t="s">
        <v>303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304</v>
      </c>
    </row>
    <row r="4" customFormat="false" ht="15" hidden="false" customHeight="false" outlineLevel="0" collapsed="false">
      <c r="A4" s="8" t="s">
        <v>305</v>
      </c>
      <c r="B4" s="8" t="s">
        <v>306</v>
      </c>
      <c r="C4" s="8" t="s">
        <v>307</v>
      </c>
      <c r="D4" s="8" t="s">
        <v>308</v>
      </c>
      <c r="E4" s="8" t="s">
        <v>309</v>
      </c>
      <c r="F4" s="8" t="s">
        <v>63</v>
      </c>
      <c r="G4" s="8" t="s">
        <v>64</v>
      </c>
      <c r="H4" s="8"/>
      <c r="I4" s="8"/>
    </row>
    <row r="5" customFormat="false" ht="15" hidden="false" customHeight="false" outlineLevel="0" collapsed="false">
      <c r="A5" s="9" t="s">
        <v>310</v>
      </c>
      <c r="B5" s="9" t="s">
        <v>311</v>
      </c>
      <c r="C5" s="9" t="n">
        <v>188</v>
      </c>
      <c r="D5" s="9" t="n">
        <v>188</v>
      </c>
      <c r="E5" s="9" t="n">
        <v>0</v>
      </c>
      <c r="F5" s="10" t="s">
        <v>43</v>
      </c>
      <c r="G5" s="9" t="s">
        <v>312</v>
      </c>
    </row>
    <row r="6" customFormat="false" ht="15" hidden="false" customHeight="false" outlineLevel="0" collapsed="false">
      <c r="A6" s="9" t="s">
        <v>313</v>
      </c>
      <c r="B6" s="9" t="s">
        <v>314</v>
      </c>
      <c r="C6" s="9" t="n">
        <v>188</v>
      </c>
      <c r="D6" s="9" t="n">
        <v>188</v>
      </c>
      <c r="E6" s="9" t="n">
        <v>0</v>
      </c>
      <c r="F6" s="10" t="s">
        <v>43</v>
      </c>
      <c r="G6" s="9" t="s">
        <v>315</v>
      </c>
    </row>
    <row r="7" customFormat="false" ht="15" hidden="false" customHeight="false" outlineLevel="0" collapsed="false">
      <c r="A7" s="9" t="s">
        <v>316</v>
      </c>
      <c r="B7" s="9" t="s">
        <v>317</v>
      </c>
      <c r="C7" s="9" t="n">
        <v>188</v>
      </c>
      <c r="D7" s="9" t="n">
        <v>188</v>
      </c>
      <c r="E7" s="9" t="n">
        <v>0</v>
      </c>
      <c r="F7" s="10" t="s">
        <v>43</v>
      </c>
      <c r="G7" s="9" t="s">
        <v>318</v>
      </c>
    </row>
    <row r="8" customFormat="false" ht="15" hidden="false" customHeight="false" outlineLevel="0" collapsed="false">
      <c r="A8" s="9" t="s">
        <v>319</v>
      </c>
      <c r="B8" s="9" t="s">
        <v>320</v>
      </c>
      <c r="C8" s="9" t="n">
        <v>188</v>
      </c>
      <c r="D8" s="9" t="n">
        <v>188</v>
      </c>
      <c r="E8" s="9" t="n">
        <v>0</v>
      </c>
      <c r="F8" s="10" t="s">
        <v>43</v>
      </c>
      <c r="G8" s="9" t="s">
        <v>321</v>
      </c>
    </row>
    <row r="9" customFormat="false" ht="15" hidden="false" customHeight="false" outlineLevel="0" collapsed="false">
      <c r="A9" s="9" t="s">
        <v>322</v>
      </c>
      <c r="B9" s="9" t="s">
        <v>323</v>
      </c>
      <c r="C9" s="9" t="n">
        <v>188</v>
      </c>
      <c r="D9" s="9" t="n">
        <v>188</v>
      </c>
      <c r="E9" s="9" t="n">
        <v>0</v>
      </c>
      <c r="F9" s="10" t="s">
        <v>43</v>
      </c>
      <c r="G9" s="9" t="s">
        <v>324</v>
      </c>
    </row>
    <row r="10" customFormat="false" ht="15" hidden="false" customHeight="false" outlineLevel="0" collapsed="false">
      <c r="A10" s="9" t="s">
        <v>325</v>
      </c>
      <c r="B10" s="9" t="s">
        <v>326</v>
      </c>
      <c r="C10" s="9" t="n">
        <v>188</v>
      </c>
      <c r="D10" s="9" t="n">
        <v>188</v>
      </c>
      <c r="E10" s="9" t="n">
        <v>0</v>
      </c>
      <c r="F10" s="10" t="s">
        <v>43</v>
      </c>
      <c r="G10" s="9" t="s">
        <v>327</v>
      </c>
    </row>
    <row r="11" customFormat="false" ht="15" hidden="false" customHeight="false" outlineLevel="0" collapsed="false">
      <c r="A11" s="9" t="s">
        <v>328</v>
      </c>
      <c r="B11" s="9" t="s">
        <v>329</v>
      </c>
      <c r="C11" s="9" t="n">
        <v>188</v>
      </c>
      <c r="D11" s="9" t="n">
        <v>188</v>
      </c>
      <c r="E11" s="9" t="n">
        <v>0</v>
      </c>
      <c r="F11" s="10" t="s">
        <v>43</v>
      </c>
      <c r="G11" s="9" t="s">
        <v>330</v>
      </c>
    </row>
    <row r="12" customFormat="false" ht="15" hidden="false" customHeight="false" outlineLevel="0" collapsed="false">
      <c r="A12" s="9" t="s">
        <v>331</v>
      </c>
      <c r="B12" s="9" t="s">
        <v>332</v>
      </c>
      <c r="C12" s="9" t="n">
        <v>4</v>
      </c>
      <c r="D12" s="9" t="n">
        <v>4</v>
      </c>
      <c r="E12" s="9" t="n">
        <v>0</v>
      </c>
      <c r="F12" s="10" t="s">
        <v>43</v>
      </c>
      <c r="G12" s="9" t="s">
        <v>333</v>
      </c>
    </row>
    <row r="13" customFormat="false" ht="15" hidden="false" customHeight="false" outlineLevel="0" collapsed="false">
      <c r="A13" s="9" t="s">
        <v>334</v>
      </c>
      <c r="B13" s="9" t="s">
        <v>335</v>
      </c>
      <c r="C13" s="9" t="n">
        <v>4</v>
      </c>
      <c r="D13" s="9" t="n">
        <v>4</v>
      </c>
      <c r="E13" s="9" t="n">
        <v>0</v>
      </c>
      <c r="F13" s="10" t="s">
        <v>43</v>
      </c>
      <c r="G13" s="9" t="s">
        <v>336</v>
      </c>
    </row>
    <row r="14" customFormat="false" ht="15" hidden="false" customHeight="false" outlineLevel="0" collapsed="false">
      <c r="A14" s="9" t="s">
        <v>337</v>
      </c>
      <c r="B14" s="9" t="s">
        <v>338</v>
      </c>
      <c r="C14" s="9" t="n">
        <v>2</v>
      </c>
      <c r="D14" s="9" t="n">
        <v>2</v>
      </c>
      <c r="E14" s="9" t="n">
        <v>0</v>
      </c>
      <c r="F14" s="10" t="s">
        <v>43</v>
      </c>
      <c r="G14" s="9" t="s">
        <v>339</v>
      </c>
    </row>
    <row r="15" customFormat="false" ht="15" hidden="false" customHeight="false" outlineLevel="0" collapsed="false">
      <c r="A15" s="9" t="s">
        <v>340</v>
      </c>
      <c r="B15" s="9" t="s">
        <v>341</v>
      </c>
      <c r="C15" s="9" t="n">
        <v>2</v>
      </c>
      <c r="D15" s="9" t="n">
        <v>2</v>
      </c>
      <c r="E15" s="9" t="n">
        <v>0</v>
      </c>
      <c r="F15" s="10" t="s">
        <v>43</v>
      </c>
      <c r="G15" s="9" t="s">
        <v>342</v>
      </c>
    </row>
    <row r="16" customFormat="false" ht="15" hidden="false" customHeight="false" outlineLevel="0" collapsed="false">
      <c r="A16" s="9" t="s">
        <v>343</v>
      </c>
      <c r="B16" s="9" t="s">
        <v>344</v>
      </c>
      <c r="C16" s="9" t="n">
        <v>2</v>
      </c>
      <c r="D16" s="9" t="n">
        <v>2</v>
      </c>
      <c r="E16" s="9" t="n">
        <v>0</v>
      </c>
      <c r="F16" s="10" t="s">
        <v>43</v>
      </c>
      <c r="G16" s="9" t="s">
        <v>345</v>
      </c>
    </row>
    <row r="17" customFormat="false" ht="15" hidden="false" customHeight="false" outlineLevel="0" collapsed="false">
      <c r="A17" s="2" t="s">
        <v>346</v>
      </c>
      <c r="C17" s="2" t="n">
        <f aca="false">SUM(C5:C16)</f>
        <v>1330</v>
      </c>
      <c r="D17" s="2" t="n">
        <f aca="false">SUM(D5:D16)</f>
        <v>1330</v>
      </c>
      <c r="E17" s="17" t="n">
        <f aca="false">SUM(E5:E16)</f>
        <v>0</v>
      </c>
    </row>
    <row r="19" customFormat="false" ht="15" hidden="false" customHeight="false" outlineLevel="0" collapsed="false">
      <c r="A19" s="2" t="s">
        <v>347</v>
      </c>
    </row>
    <row r="20" customFormat="false" ht="15" hidden="false" customHeight="false" outlineLevel="0" collapsed="false">
      <c r="A20" s="8" t="s">
        <v>348</v>
      </c>
      <c r="B20" s="8" t="s">
        <v>99</v>
      </c>
      <c r="C20" s="8" t="s">
        <v>349</v>
      </c>
      <c r="D20" s="8" t="s">
        <v>350</v>
      </c>
      <c r="E20" s="8" t="s">
        <v>351</v>
      </c>
      <c r="F20" s="8" t="s">
        <v>33</v>
      </c>
      <c r="G20" s="8" t="s">
        <v>352</v>
      </c>
      <c r="H20" s="8" t="s">
        <v>353</v>
      </c>
      <c r="I20" s="8" t="s">
        <v>63</v>
      </c>
    </row>
    <row r="21" customFormat="false" ht="15" hidden="false" customHeight="false" outlineLevel="0" collapsed="false">
      <c r="A21" s="18" t="s">
        <v>203</v>
      </c>
      <c r="B21" s="9" t="s">
        <v>204</v>
      </c>
      <c r="C21" s="9" t="s">
        <v>354</v>
      </c>
      <c r="D21" s="9" t="s">
        <v>355</v>
      </c>
      <c r="E21" s="9" t="n">
        <v>1</v>
      </c>
      <c r="F21" s="9" t="n">
        <v>1</v>
      </c>
      <c r="G21" s="9" t="n">
        <v>-2</v>
      </c>
      <c r="H21" s="9" t="n">
        <v>-2</v>
      </c>
      <c r="I21" s="10" t="s">
        <v>28</v>
      </c>
    </row>
    <row r="22" customFormat="false" ht="15" hidden="false" customHeight="false" outlineLevel="0" collapsed="false">
      <c r="A22" s="18" t="s">
        <v>205</v>
      </c>
      <c r="B22" s="9" t="s">
        <v>204</v>
      </c>
      <c r="C22" s="9" t="s">
        <v>356</v>
      </c>
      <c r="D22" s="9" t="s">
        <v>357</v>
      </c>
      <c r="E22" s="9" t="n">
        <v>3</v>
      </c>
      <c r="F22" s="9" t="n">
        <v>2</v>
      </c>
      <c r="G22" s="9" t="n">
        <v>4</v>
      </c>
      <c r="H22" s="9" t="n">
        <v>4</v>
      </c>
      <c r="I22" s="10" t="s">
        <v>28</v>
      </c>
    </row>
    <row r="23" customFormat="false" ht="15" hidden="false" customHeight="false" outlineLevel="0" collapsed="false">
      <c r="A23" s="18" t="s">
        <v>206</v>
      </c>
      <c r="B23" s="9" t="s">
        <v>204</v>
      </c>
      <c r="C23" s="9" t="s">
        <v>358</v>
      </c>
      <c r="D23" s="9" t="s">
        <v>359</v>
      </c>
      <c r="E23" s="9" t="n">
        <v>127</v>
      </c>
      <c r="F23" s="9" t="n">
        <v>125</v>
      </c>
      <c r="G23" s="9" t="n">
        <v>197</v>
      </c>
      <c r="H23" s="9" t="n">
        <v>197</v>
      </c>
      <c r="I23" s="10" t="s">
        <v>28</v>
      </c>
    </row>
    <row r="24" customFormat="false" ht="15" hidden="false" customHeight="false" outlineLevel="0" collapsed="false">
      <c r="A24" s="18" t="s">
        <v>106</v>
      </c>
      <c r="B24" s="9" t="s">
        <v>107</v>
      </c>
      <c r="C24" s="9" t="s">
        <v>360</v>
      </c>
      <c r="D24" s="9" t="s">
        <v>361</v>
      </c>
      <c r="E24" s="9" t="n">
        <v>57</v>
      </c>
      <c r="F24" s="9" t="n">
        <v>56</v>
      </c>
      <c r="G24" s="9" t="n">
        <v>788</v>
      </c>
      <c r="H24" s="9" t="n">
        <v>788</v>
      </c>
      <c r="I24" s="10" t="s">
        <v>28</v>
      </c>
    </row>
    <row r="25" customFormat="false" ht="15" hidden="false" customHeight="false" outlineLevel="0" collapsed="false">
      <c r="A25" s="2" t="s">
        <v>346</v>
      </c>
      <c r="E25" s="2" t="n">
        <f aca="false">SUM(E21:E24)</f>
        <v>188</v>
      </c>
      <c r="F25" s="2" t="n">
        <f aca="false">SUM(F21:F24)</f>
        <v>184</v>
      </c>
      <c r="G25" s="2" t="n">
        <f aca="false">SUM(G21:G24)</f>
        <v>987</v>
      </c>
      <c r="H25" s="2" t="n">
        <f aca="false">SUM(H21:H24)</f>
        <v>987</v>
      </c>
      <c r="I25" s="19" t="str">
        <f aca="false">IF(G25=H25,"MATCH","MISMATCH")</f>
        <v>MATCH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95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362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363</v>
      </c>
    </row>
    <row r="5" customFormat="false" ht="23.85" hidden="false" customHeight="false" outlineLevel="0" collapsed="false">
      <c r="A5" s="8" t="s">
        <v>97</v>
      </c>
      <c r="B5" s="8" t="s">
        <v>364</v>
      </c>
      <c r="C5" s="8" t="s">
        <v>365</v>
      </c>
      <c r="D5" s="8" t="s">
        <v>366</v>
      </c>
      <c r="E5" s="8" t="s">
        <v>367</v>
      </c>
      <c r="F5" s="8" t="s">
        <v>368</v>
      </c>
      <c r="G5" s="8" t="s">
        <v>63</v>
      </c>
    </row>
    <row r="6" customFormat="false" ht="15" hidden="false" customHeight="false" outlineLevel="0" collapsed="false">
      <c r="A6" s="18" t="s">
        <v>203</v>
      </c>
      <c r="B6" s="9" t="s">
        <v>97</v>
      </c>
      <c r="C6" s="9" t="n">
        <v>9</v>
      </c>
      <c r="D6" s="9" t="n">
        <v>3</v>
      </c>
      <c r="E6" s="20" t="s">
        <v>369</v>
      </c>
      <c r="F6" s="20" t="s">
        <v>369</v>
      </c>
      <c r="G6" s="10" t="s">
        <v>28</v>
      </c>
    </row>
    <row r="7" customFormat="false" ht="15" hidden="false" customHeight="false" outlineLevel="0" collapsed="false">
      <c r="A7" s="18" t="s">
        <v>203</v>
      </c>
      <c r="B7" s="9" t="s">
        <v>370</v>
      </c>
      <c r="C7" s="9" t="n">
        <v>10</v>
      </c>
      <c r="D7" s="9" t="n">
        <v>4</v>
      </c>
      <c r="E7" s="20" t="s">
        <v>371</v>
      </c>
      <c r="F7" s="20" t="s">
        <v>371</v>
      </c>
      <c r="G7" s="10" t="s">
        <v>28</v>
      </c>
    </row>
    <row r="8" customFormat="false" ht="15" hidden="false" customHeight="false" outlineLevel="0" collapsed="false">
      <c r="A8" s="18" t="s">
        <v>203</v>
      </c>
      <c r="B8" s="9" t="s">
        <v>372</v>
      </c>
      <c r="C8" s="9" t="n">
        <v>11</v>
      </c>
      <c r="D8" s="9" t="n">
        <v>5</v>
      </c>
      <c r="E8" s="20" t="s">
        <v>373</v>
      </c>
      <c r="F8" s="20" t="s">
        <v>373</v>
      </c>
      <c r="G8" s="10" t="s">
        <v>28</v>
      </c>
    </row>
    <row r="9" customFormat="false" ht="15" hidden="false" customHeight="false" outlineLevel="0" collapsed="false">
      <c r="A9" s="18" t="s">
        <v>205</v>
      </c>
      <c r="B9" s="9" t="s">
        <v>97</v>
      </c>
      <c r="C9" s="9" t="n">
        <v>2051</v>
      </c>
      <c r="D9" s="9" t="n">
        <v>6</v>
      </c>
      <c r="E9" s="20" t="s">
        <v>374</v>
      </c>
      <c r="F9" s="20" t="s">
        <v>374</v>
      </c>
      <c r="G9" s="10" t="s">
        <v>28</v>
      </c>
    </row>
    <row r="10" customFormat="false" ht="15" hidden="false" customHeight="false" outlineLevel="0" collapsed="false">
      <c r="A10" s="18" t="s">
        <v>205</v>
      </c>
      <c r="B10" s="9" t="s">
        <v>370</v>
      </c>
      <c r="C10" s="9" t="n">
        <v>2052</v>
      </c>
      <c r="D10" s="9" t="n">
        <v>7</v>
      </c>
      <c r="E10" s="20" t="s">
        <v>371</v>
      </c>
      <c r="F10" s="20" t="s">
        <v>371</v>
      </c>
      <c r="G10" s="10" t="s">
        <v>28</v>
      </c>
    </row>
    <row r="11" customFormat="false" ht="15" hidden="false" customHeight="false" outlineLevel="0" collapsed="false">
      <c r="A11" s="18" t="s">
        <v>205</v>
      </c>
      <c r="B11" s="9" t="s">
        <v>372</v>
      </c>
      <c r="C11" s="9" t="n">
        <v>2053</v>
      </c>
      <c r="D11" s="9" t="n">
        <v>8</v>
      </c>
      <c r="E11" s="20" t="s">
        <v>375</v>
      </c>
      <c r="F11" s="20" t="s">
        <v>375</v>
      </c>
      <c r="G11" s="10" t="s">
        <v>28</v>
      </c>
    </row>
    <row r="12" customFormat="false" ht="15" hidden="false" customHeight="false" outlineLevel="0" collapsed="false">
      <c r="A12" s="18" t="s">
        <v>205</v>
      </c>
      <c r="B12" s="9" t="s">
        <v>370</v>
      </c>
      <c r="C12" s="9" t="n">
        <v>2054</v>
      </c>
      <c r="D12" s="9" t="n">
        <v>9</v>
      </c>
      <c r="E12" s="20" t="s">
        <v>376</v>
      </c>
      <c r="F12" s="20" t="s">
        <v>376</v>
      </c>
      <c r="G12" s="10" t="s">
        <v>28</v>
      </c>
    </row>
    <row r="13" customFormat="false" ht="15" hidden="false" customHeight="false" outlineLevel="0" collapsed="false">
      <c r="A13" s="18" t="s">
        <v>205</v>
      </c>
      <c r="B13" s="9" t="s">
        <v>372</v>
      </c>
      <c r="C13" s="9" t="n">
        <v>2055</v>
      </c>
      <c r="D13" s="9" t="n">
        <v>10</v>
      </c>
      <c r="E13" s="20" t="s">
        <v>377</v>
      </c>
      <c r="F13" s="20" t="s">
        <v>377</v>
      </c>
      <c r="G13" s="10" t="s">
        <v>28</v>
      </c>
    </row>
    <row r="14" customFormat="false" ht="15" hidden="false" customHeight="false" outlineLevel="0" collapsed="false">
      <c r="A14" s="18" t="s">
        <v>206</v>
      </c>
      <c r="B14" s="9" t="s">
        <v>97</v>
      </c>
      <c r="C14" s="9" t="n">
        <v>10634</v>
      </c>
      <c r="D14" s="9" t="n">
        <v>11</v>
      </c>
      <c r="E14" s="20" t="s">
        <v>378</v>
      </c>
      <c r="F14" s="20" t="s">
        <v>378</v>
      </c>
      <c r="G14" s="10" t="s">
        <v>28</v>
      </c>
    </row>
    <row r="15" customFormat="false" ht="15" hidden="false" customHeight="false" outlineLevel="0" collapsed="false">
      <c r="A15" s="18" t="s">
        <v>206</v>
      </c>
      <c r="B15" s="9" t="s">
        <v>370</v>
      </c>
      <c r="C15" s="9" t="n">
        <v>10635</v>
      </c>
      <c r="D15" s="9" t="n">
        <v>12</v>
      </c>
      <c r="E15" s="20" t="s">
        <v>371</v>
      </c>
      <c r="F15" s="20" t="s">
        <v>371</v>
      </c>
      <c r="G15" s="10" t="s">
        <v>28</v>
      </c>
    </row>
    <row r="16" customFormat="false" ht="15" hidden="false" customHeight="false" outlineLevel="0" collapsed="false">
      <c r="A16" s="18" t="s">
        <v>206</v>
      </c>
      <c r="B16" s="9" t="s">
        <v>372</v>
      </c>
      <c r="C16" s="9" t="n">
        <v>10636</v>
      </c>
      <c r="D16" s="9" t="n">
        <v>13</v>
      </c>
      <c r="E16" s="20" t="s">
        <v>379</v>
      </c>
      <c r="F16" s="20" t="s">
        <v>379</v>
      </c>
      <c r="G16" s="10" t="s">
        <v>28</v>
      </c>
    </row>
    <row r="17" customFormat="false" ht="15" hidden="false" customHeight="false" outlineLevel="0" collapsed="false">
      <c r="A17" s="18" t="s">
        <v>206</v>
      </c>
      <c r="B17" s="9" t="s">
        <v>372</v>
      </c>
      <c r="C17" s="9" t="n">
        <v>10637</v>
      </c>
      <c r="D17" s="9" t="n">
        <v>14</v>
      </c>
      <c r="E17" s="20" t="s">
        <v>380</v>
      </c>
      <c r="F17" s="20" t="s">
        <v>380</v>
      </c>
      <c r="G17" s="10" t="s">
        <v>28</v>
      </c>
    </row>
    <row r="18" customFormat="false" ht="15" hidden="false" customHeight="false" outlineLevel="0" collapsed="false">
      <c r="A18" s="18" t="s">
        <v>206</v>
      </c>
      <c r="B18" s="9" t="s">
        <v>372</v>
      </c>
      <c r="C18" s="9" t="n">
        <v>10638</v>
      </c>
      <c r="D18" s="9" t="n">
        <v>15</v>
      </c>
      <c r="E18" s="20" t="s">
        <v>381</v>
      </c>
      <c r="F18" s="20" t="s">
        <v>381</v>
      </c>
      <c r="G18" s="10" t="s">
        <v>28</v>
      </c>
    </row>
    <row r="19" customFormat="false" ht="15" hidden="false" customHeight="false" outlineLevel="0" collapsed="false">
      <c r="A19" s="18" t="s">
        <v>206</v>
      </c>
      <c r="B19" s="9" t="s">
        <v>372</v>
      </c>
      <c r="C19" s="9" t="n">
        <v>10639</v>
      </c>
      <c r="D19" s="9" t="n">
        <v>16</v>
      </c>
      <c r="E19" s="20" t="s">
        <v>382</v>
      </c>
      <c r="F19" s="20" t="s">
        <v>382</v>
      </c>
      <c r="G19" s="10" t="s">
        <v>28</v>
      </c>
    </row>
    <row r="20" customFormat="false" ht="15" hidden="false" customHeight="false" outlineLevel="0" collapsed="false">
      <c r="A20" s="18" t="s">
        <v>206</v>
      </c>
      <c r="B20" s="9" t="s">
        <v>372</v>
      </c>
      <c r="C20" s="9" t="n">
        <v>10640</v>
      </c>
      <c r="D20" s="9" t="n">
        <v>17</v>
      </c>
      <c r="E20" s="20" t="s">
        <v>383</v>
      </c>
      <c r="F20" s="20" t="s">
        <v>383</v>
      </c>
      <c r="G20" s="10" t="s">
        <v>28</v>
      </c>
    </row>
    <row r="21" customFormat="false" ht="15" hidden="false" customHeight="false" outlineLevel="0" collapsed="false">
      <c r="A21" s="18" t="s">
        <v>206</v>
      </c>
      <c r="B21" s="9" t="s">
        <v>372</v>
      </c>
      <c r="C21" s="9" t="n">
        <v>10641</v>
      </c>
      <c r="D21" s="9" t="n">
        <v>18</v>
      </c>
      <c r="E21" s="20" t="s">
        <v>384</v>
      </c>
      <c r="F21" s="20" t="s">
        <v>384</v>
      </c>
      <c r="G21" s="10" t="s">
        <v>28</v>
      </c>
    </row>
    <row r="22" customFormat="false" ht="15" hidden="false" customHeight="false" outlineLevel="0" collapsed="false">
      <c r="A22" s="18" t="s">
        <v>206</v>
      </c>
      <c r="B22" s="9" t="s">
        <v>372</v>
      </c>
      <c r="C22" s="9" t="n">
        <v>10642</v>
      </c>
      <c r="D22" s="9" t="n">
        <v>19</v>
      </c>
      <c r="E22" s="20" t="s">
        <v>385</v>
      </c>
      <c r="F22" s="20" t="s">
        <v>385</v>
      </c>
      <c r="G22" s="10" t="s">
        <v>28</v>
      </c>
    </row>
    <row r="23" customFormat="false" ht="15" hidden="false" customHeight="false" outlineLevel="0" collapsed="false">
      <c r="A23" s="18" t="s">
        <v>206</v>
      </c>
      <c r="B23" s="9" t="s">
        <v>372</v>
      </c>
      <c r="C23" s="9" t="n">
        <v>10643</v>
      </c>
      <c r="D23" s="9" t="n">
        <v>20</v>
      </c>
      <c r="E23" s="20" t="s">
        <v>386</v>
      </c>
      <c r="F23" s="20" t="s">
        <v>386</v>
      </c>
      <c r="G23" s="10" t="s">
        <v>28</v>
      </c>
    </row>
    <row r="24" customFormat="false" ht="15" hidden="false" customHeight="false" outlineLevel="0" collapsed="false">
      <c r="A24" s="18" t="s">
        <v>206</v>
      </c>
      <c r="B24" s="9" t="s">
        <v>372</v>
      </c>
      <c r="C24" s="9" t="n">
        <v>10644</v>
      </c>
      <c r="D24" s="9" t="n">
        <v>21</v>
      </c>
      <c r="E24" s="20" t="s">
        <v>387</v>
      </c>
      <c r="F24" s="20" t="s">
        <v>387</v>
      </c>
      <c r="G24" s="10" t="s">
        <v>28</v>
      </c>
    </row>
    <row r="25" customFormat="false" ht="15" hidden="false" customHeight="false" outlineLevel="0" collapsed="false">
      <c r="A25" s="18" t="s">
        <v>206</v>
      </c>
      <c r="B25" s="9" t="s">
        <v>372</v>
      </c>
      <c r="C25" s="9" t="n">
        <v>10645</v>
      </c>
      <c r="D25" s="9" t="n">
        <v>22</v>
      </c>
      <c r="E25" s="20" t="s">
        <v>388</v>
      </c>
      <c r="F25" s="20" t="s">
        <v>388</v>
      </c>
      <c r="G25" s="10" t="s">
        <v>28</v>
      </c>
    </row>
    <row r="26" customFormat="false" ht="15" hidden="false" customHeight="false" outlineLevel="0" collapsed="false">
      <c r="A26" s="18" t="s">
        <v>206</v>
      </c>
      <c r="B26" s="9" t="s">
        <v>372</v>
      </c>
      <c r="C26" s="9" t="n">
        <v>10646</v>
      </c>
      <c r="D26" s="9" t="n">
        <v>23</v>
      </c>
      <c r="E26" s="20" t="s">
        <v>389</v>
      </c>
      <c r="F26" s="20" t="s">
        <v>389</v>
      </c>
      <c r="G26" s="10" t="s">
        <v>28</v>
      </c>
    </row>
    <row r="27" customFormat="false" ht="15" hidden="false" customHeight="false" outlineLevel="0" collapsed="false">
      <c r="A27" s="18" t="s">
        <v>206</v>
      </c>
      <c r="B27" s="9" t="s">
        <v>372</v>
      </c>
      <c r="C27" s="9" t="n">
        <v>10647</v>
      </c>
      <c r="D27" s="9" t="n">
        <v>24</v>
      </c>
      <c r="E27" s="20" t="s">
        <v>390</v>
      </c>
      <c r="F27" s="20" t="s">
        <v>390</v>
      </c>
      <c r="G27" s="10" t="s">
        <v>28</v>
      </c>
    </row>
    <row r="28" customFormat="false" ht="15" hidden="false" customHeight="false" outlineLevel="0" collapsed="false">
      <c r="A28" s="18" t="s">
        <v>206</v>
      </c>
      <c r="B28" s="9" t="s">
        <v>372</v>
      </c>
      <c r="C28" s="9" t="n">
        <v>10648</v>
      </c>
      <c r="D28" s="9" t="n">
        <v>25</v>
      </c>
      <c r="E28" s="20" t="s">
        <v>391</v>
      </c>
      <c r="F28" s="20" t="s">
        <v>391</v>
      </c>
      <c r="G28" s="10" t="s">
        <v>28</v>
      </c>
    </row>
    <row r="29" customFormat="false" ht="15" hidden="false" customHeight="false" outlineLevel="0" collapsed="false">
      <c r="A29" s="18" t="s">
        <v>206</v>
      </c>
      <c r="B29" s="9" t="s">
        <v>370</v>
      </c>
      <c r="C29" s="9" t="n">
        <v>10649</v>
      </c>
      <c r="D29" s="9" t="n">
        <v>26</v>
      </c>
      <c r="E29" s="20" t="s">
        <v>376</v>
      </c>
      <c r="F29" s="20" t="s">
        <v>376</v>
      </c>
      <c r="G29" s="10" t="s">
        <v>28</v>
      </c>
    </row>
    <row r="30" customFormat="false" ht="15" hidden="false" customHeight="false" outlineLevel="0" collapsed="false">
      <c r="A30" s="18" t="s">
        <v>206</v>
      </c>
      <c r="B30" s="9" t="s">
        <v>372</v>
      </c>
      <c r="C30" s="9" t="n">
        <v>10650</v>
      </c>
      <c r="D30" s="9" t="n">
        <v>27</v>
      </c>
      <c r="E30" s="20" t="s">
        <v>392</v>
      </c>
      <c r="F30" s="20" t="s">
        <v>392</v>
      </c>
      <c r="G30" s="10" t="s">
        <v>28</v>
      </c>
    </row>
    <row r="31" customFormat="false" ht="15" hidden="false" customHeight="false" outlineLevel="0" collapsed="false">
      <c r="A31" s="18" t="s">
        <v>206</v>
      </c>
      <c r="B31" s="9" t="s">
        <v>370</v>
      </c>
      <c r="C31" s="9" t="n">
        <v>10651</v>
      </c>
      <c r="D31" s="9" t="n">
        <v>28</v>
      </c>
      <c r="E31" s="20" t="s">
        <v>393</v>
      </c>
      <c r="F31" s="20" t="s">
        <v>393</v>
      </c>
      <c r="G31" s="10" t="s">
        <v>28</v>
      </c>
    </row>
    <row r="32" customFormat="false" ht="15" hidden="false" customHeight="false" outlineLevel="0" collapsed="false">
      <c r="A32" s="18" t="s">
        <v>206</v>
      </c>
      <c r="B32" s="9" t="s">
        <v>372</v>
      </c>
      <c r="C32" s="9" t="n">
        <v>10652</v>
      </c>
      <c r="D32" s="9" t="n">
        <v>29</v>
      </c>
      <c r="E32" s="20" t="s">
        <v>394</v>
      </c>
      <c r="F32" s="20" t="s">
        <v>394</v>
      </c>
      <c r="G32" s="10" t="s">
        <v>28</v>
      </c>
    </row>
    <row r="33" customFormat="false" ht="15" hidden="false" customHeight="false" outlineLevel="0" collapsed="false">
      <c r="A33" s="18" t="s">
        <v>106</v>
      </c>
      <c r="B33" s="9" t="s">
        <v>97</v>
      </c>
      <c r="C33" s="9" t="n">
        <v>85308</v>
      </c>
      <c r="D33" s="9" t="n">
        <v>33</v>
      </c>
      <c r="E33" s="20" t="s">
        <v>395</v>
      </c>
      <c r="F33" s="20" t="s">
        <v>395</v>
      </c>
      <c r="G33" s="10" t="s">
        <v>28</v>
      </c>
    </row>
    <row r="34" customFormat="false" ht="15" hidden="false" customHeight="false" outlineLevel="0" collapsed="false">
      <c r="A34" s="18" t="s">
        <v>106</v>
      </c>
      <c r="B34" s="9" t="s">
        <v>370</v>
      </c>
      <c r="C34" s="9" t="n">
        <v>85309</v>
      </c>
      <c r="D34" s="9" t="n">
        <v>34</v>
      </c>
      <c r="E34" s="20" t="s">
        <v>371</v>
      </c>
      <c r="F34" s="20" t="s">
        <v>371</v>
      </c>
      <c r="G34" s="10" t="s">
        <v>28</v>
      </c>
    </row>
    <row r="35" customFormat="false" ht="15" hidden="false" customHeight="false" outlineLevel="0" collapsed="false">
      <c r="A35" s="18" t="s">
        <v>106</v>
      </c>
      <c r="B35" s="9" t="s">
        <v>372</v>
      </c>
      <c r="C35" s="9" t="n">
        <v>85310</v>
      </c>
      <c r="D35" s="9" t="n">
        <v>35</v>
      </c>
      <c r="E35" s="20" t="s">
        <v>396</v>
      </c>
      <c r="F35" s="20" t="s">
        <v>396</v>
      </c>
      <c r="G35" s="10" t="s">
        <v>28</v>
      </c>
    </row>
    <row r="36" customFormat="false" ht="15" hidden="false" customHeight="false" outlineLevel="0" collapsed="false">
      <c r="A36" s="18" t="s">
        <v>106</v>
      </c>
      <c r="B36" s="9" t="s">
        <v>372</v>
      </c>
      <c r="C36" s="9" t="n">
        <v>85311</v>
      </c>
      <c r="D36" s="9" t="n">
        <v>36</v>
      </c>
      <c r="E36" s="20" t="s">
        <v>397</v>
      </c>
      <c r="F36" s="20" t="s">
        <v>397</v>
      </c>
      <c r="G36" s="10" t="s">
        <v>28</v>
      </c>
    </row>
    <row r="37" customFormat="false" ht="15" hidden="false" customHeight="false" outlineLevel="0" collapsed="false">
      <c r="A37" s="18" t="s">
        <v>106</v>
      </c>
      <c r="B37" s="9" t="s">
        <v>372</v>
      </c>
      <c r="C37" s="9" t="n">
        <v>85312</v>
      </c>
      <c r="D37" s="9" t="n">
        <v>37</v>
      </c>
      <c r="E37" s="20" t="s">
        <v>398</v>
      </c>
      <c r="F37" s="20" t="s">
        <v>398</v>
      </c>
      <c r="G37" s="10" t="s">
        <v>28</v>
      </c>
    </row>
    <row r="38" customFormat="false" ht="15" hidden="false" customHeight="false" outlineLevel="0" collapsed="false">
      <c r="A38" s="18" t="s">
        <v>106</v>
      </c>
      <c r="B38" s="9" t="s">
        <v>372</v>
      </c>
      <c r="C38" s="9" t="n">
        <v>85313</v>
      </c>
      <c r="D38" s="9" t="n">
        <v>38</v>
      </c>
      <c r="E38" s="20" t="s">
        <v>399</v>
      </c>
      <c r="F38" s="20" t="s">
        <v>399</v>
      </c>
      <c r="G38" s="10" t="s">
        <v>28</v>
      </c>
    </row>
    <row r="39" customFormat="false" ht="15" hidden="false" customHeight="false" outlineLevel="0" collapsed="false">
      <c r="A39" s="18" t="s">
        <v>106</v>
      </c>
      <c r="B39" s="9" t="s">
        <v>372</v>
      </c>
      <c r="C39" s="9" t="n">
        <v>85314</v>
      </c>
      <c r="D39" s="9" t="n">
        <v>39</v>
      </c>
      <c r="E39" s="20" t="s">
        <v>400</v>
      </c>
      <c r="F39" s="20" t="s">
        <v>400</v>
      </c>
      <c r="G39" s="10" t="s">
        <v>28</v>
      </c>
    </row>
    <row r="40" customFormat="false" ht="15" hidden="false" customHeight="false" outlineLevel="0" collapsed="false">
      <c r="A40" s="18" t="s">
        <v>106</v>
      </c>
      <c r="B40" s="9" t="s">
        <v>372</v>
      </c>
      <c r="C40" s="9" t="n">
        <v>85315</v>
      </c>
      <c r="D40" s="9" t="n">
        <v>40</v>
      </c>
      <c r="E40" s="20" t="s">
        <v>401</v>
      </c>
      <c r="F40" s="20" t="s">
        <v>401</v>
      </c>
      <c r="G40" s="10" t="s">
        <v>28</v>
      </c>
    </row>
    <row r="41" customFormat="false" ht="15" hidden="false" customHeight="false" outlineLevel="0" collapsed="false">
      <c r="A41" s="18" t="s">
        <v>106</v>
      </c>
      <c r="B41" s="9" t="s">
        <v>370</v>
      </c>
      <c r="C41" s="9" t="n">
        <v>85316</v>
      </c>
      <c r="D41" s="9" t="n">
        <v>41</v>
      </c>
      <c r="E41" s="20" t="s">
        <v>376</v>
      </c>
      <c r="F41" s="20" t="s">
        <v>376</v>
      </c>
      <c r="G41" s="10" t="s">
        <v>28</v>
      </c>
    </row>
    <row r="42" customFormat="false" ht="15" hidden="false" customHeight="false" outlineLevel="0" collapsed="false">
      <c r="A42" s="18" t="s">
        <v>106</v>
      </c>
      <c r="B42" s="9" t="s">
        <v>372</v>
      </c>
      <c r="C42" s="9" t="n">
        <v>85317</v>
      </c>
      <c r="D42" s="9" t="n">
        <v>42</v>
      </c>
      <c r="E42" s="20" t="s">
        <v>402</v>
      </c>
      <c r="F42" s="20" t="s">
        <v>402</v>
      </c>
      <c r="G42" s="10" t="s">
        <v>28</v>
      </c>
    </row>
    <row r="44" customFormat="false" ht="15" hidden="false" customHeight="false" outlineLevel="0" collapsed="false">
      <c r="E44" s="2" t="s">
        <v>403</v>
      </c>
      <c r="F44" s="2" t="n">
        <f aca="false">COUNTA(G6:G42)</f>
        <v>37</v>
      </c>
      <c r="G44" s="17" t="n">
        <f aca="false">COUNTIF(G6:G42,"MATCH")</f>
        <v>37</v>
      </c>
    </row>
  </sheetData>
  <autoFilter ref="A5:G4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80"/>
  </cols>
  <sheetData>
    <row r="1" customFormat="false" ht="24" hidden="false" customHeight="true" outlineLevel="0" collapsed="false">
      <c r="A1" s="1" t="s">
        <v>404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405</v>
      </c>
      <c r="B3" s="8" t="s">
        <v>90</v>
      </c>
      <c r="C3" s="8" t="s">
        <v>406</v>
      </c>
      <c r="D3" s="8" t="s">
        <v>407</v>
      </c>
      <c r="E3" s="8" t="s">
        <v>408</v>
      </c>
      <c r="F3" s="8" t="s">
        <v>409</v>
      </c>
    </row>
    <row r="4" customFormat="false" ht="15" hidden="false" customHeight="false" outlineLevel="0" collapsed="false">
      <c r="A4" s="9" t="s">
        <v>410</v>
      </c>
      <c r="B4" s="10" t="n">
        <v>0</v>
      </c>
      <c r="C4" s="9" t="s">
        <v>41</v>
      </c>
      <c r="D4" s="9" t="s">
        <v>411</v>
      </c>
      <c r="E4" s="9" t="s">
        <v>411</v>
      </c>
      <c r="F4" s="9" t="s">
        <v>412</v>
      </c>
    </row>
    <row r="5" customFormat="false" ht="15" hidden="false" customHeight="false" outlineLevel="0" collapsed="false">
      <c r="A5" s="9" t="s">
        <v>413</v>
      </c>
      <c r="B5" s="10" t="n">
        <v>0</v>
      </c>
      <c r="C5" s="9" t="s">
        <v>41</v>
      </c>
      <c r="D5" s="9" t="s">
        <v>411</v>
      </c>
      <c r="E5" s="9" t="s">
        <v>411</v>
      </c>
      <c r="F5" s="9" t="s">
        <v>414</v>
      </c>
    </row>
    <row r="6" customFormat="false" ht="15" hidden="false" customHeight="false" outlineLevel="0" collapsed="false">
      <c r="A6" s="9" t="s">
        <v>45</v>
      </c>
      <c r="B6" s="10" t="n">
        <v>0</v>
      </c>
      <c r="C6" s="9" t="s">
        <v>41</v>
      </c>
      <c r="D6" s="9" t="s">
        <v>411</v>
      </c>
      <c r="E6" s="9" t="s">
        <v>411</v>
      </c>
      <c r="F6" s="9" t="s">
        <v>415</v>
      </c>
    </row>
    <row r="7" customFormat="false" ht="15" hidden="false" customHeight="false" outlineLevel="0" collapsed="false">
      <c r="A7" s="9" t="s">
        <v>416</v>
      </c>
      <c r="B7" s="10" t="n">
        <v>0</v>
      </c>
      <c r="C7" s="9" t="s">
        <v>41</v>
      </c>
      <c r="D7" s="9" t="s">
        <v>411</v>
      </c>
      <c r="E7" s="9" t="s">
        <v>411</v>
      </c>
      <c r="F7" s="9" t="s">
        <v>417</v>
      </c>
    </row>
    <row r="8" customFormat="false" ht="15" hidden="false" customHeight="false" outlineLevel="0" collapsed="false">
      <c r="A8" s="9" t="s">
        <v>47</v>
      </c>
      <c r="B8" s="10" t="n">
        <v>0</v>
      </c>
      <c r="C8" s="9" t="s">
        <v>41</v>
      </c>
      <c r="D8" s="9" t="s">
        <v>411</v>
      </c>
      <c r="E8" s="9" t="s">
        <v>411</v>
      </c>
      <c r="F8" s="9" t="s">
        <v>418</v>
      </c>
    </row>
    <row r="9" customFormat="false" ht="15" hidden="false" customHeight="false" outlineLevel="0" collapsed="false">
      <c r="A9" s="9" t="s">
        <v>48</v>
      </c>
      <c r="B9" s="10" t="n">
        <v>0</v>
      </c>
      <c r="C9" s="9" t="s">
        <v>41</v>
      </c>
      <c r="D9" s="9" t="s">
        <v>411</v>
      </c>
      <c r="E9" s="9" t="s">
        <v>411</v>
      </c>
      <c r="F9" s="9" t="s">
        <v>419</v>
      </c>
    </row>
    <row r="10" customFormat="false" ht="15" hidden="false" customHeight="false" outlineLevel="0" collapsed="false">
      <c r="A10" s="9" t="s">
        <v>49</v>
      </c>
      <c r="B10" s="10" t="n">
        <v>0</v>
      </c>
      <c r="C10" s="9" t="s">
        <v>41</v>
      </c>
      <c r="D10" s="9" t="s">
        <v>411</v>
      </c>
      <c r="E10" s="9" t="s">
        <v>411</v>
      </c>
      <c r="F10" s="9" t="s">
        <v>420</v>
      </c>
    </row>
    <row r="11" customFormat="false" ht="15" hidden="false" customHeight="false" outlineLevel="0" collapsed="false">
      <c r="A11" s="9" t="s">
        <v>421</v>
      </c>
      <c r="B11" s="10" t="n">
        <v>0</v>
      </c>
      <c r="C11" s="9" t="s">
        <v>422</v>
      </c>
      <c r="D11" s="9" t="s">
        <v>411</v>
      </c>
      <c r="E11" s="9" t="s">
        <v>411</v>
      </c>
      <c r="F11" s="9" t="s">
        <v>423</v>
      </c>
    </row>
    <row r="12" customFormat="false" ht="15" hidden="false" customHeight="false" outlineLevel="0" collapsed="false">
      <c r="A12" s="9" t="s">
        <v>424</v>
      </c>
      <c r="B12" s="21" t="n">
        <v>1</v>
      </c>
      <c r="C12" s="9" t="s">
        <v>422</v>
      </c>
      <c r="D12" s="9" t="s">
        <v>425</v>
      </c>
      <c r="E12" s="9" t="s">
        <v>425</v>
      </c>
      <c r="F12" s="9" t="s">
        <v>426</v>
      </c>
    </row>
    <row r="13" customFormat="false" ht="15" hidden="false" customHeight="false" outlineLevel="0" collapsed="false">
      <c r="A13" s="2" t="s">
        <v>427</v>
      </c>
      <c r="B13" s="19" t="n">
        <f aca="false">SUM(B4:B11)</f>
        <v>0</v>
      </c>
      <c r="F13" s="15" t="s">
        <v>428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64"/>
  </cols>
  <sheetData>
    <row r="1" customFormat="false" ht="24" hidden="false" customHeight="true" outlineLevel="0" collapsed="false">
      <c r="A1" s="1" t="s">
        <v>429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430</v>
      </c>
    </row>
    <row r="4" customFormat="false" ht="23.85" hidden="false" customHeight="false" outlineLevel="0" collapsed="false">
      <c r="A4" s="8" t="s">
        <v>431</v>
      </c>
      <c r="B4" s="8" t="s">
        <v>432</v>
      </c>
      <c r="C4" s="8" t="s">
        <v>433</v>
      </c>
      <c r="D4" s="8" t="s">
        <v>434</v>
      </c>
      <c r="E4" s="8" t="s">
        <v>435</v>
      </c>
      <c r="F4" s="8" t="s">
        <v>436</v>
      </c>
      <c r="G4" s="8" t="s">
        <v>64</v>
      </c>
    </row>
    <row r="5" customFormat="false" ht="15" hidden="false" customHeight="false" outlineLevel="0" collapsed="false">
      <c r="A5" s="9" t="s">
        <v>437</v>
      </c>
      <c r="B5" s="9" t="s">
        <v>23</v>
      </c>
      <c r="C5" s="20" t="s">
        <v>438</v>
      </c>
      <c r="D5" s="18" t="s">
        <v>439</v>
      </c>
      <c r="E5" s="9" t="n">
        <v>3</v>
      </c>
      <c r="F5" s="10" t="s">
        <v>440</v>
      </c>
      <c r="G5" s="9" t="s">
        <v>441</v>
      </c>
    </row>
    <row r="6" customFormat="false" ht="15" hidden="false" customHeight="false" outlineLevel="0" collapsed="false">
      <c r="A6" s="9" t="s">
        <v>442</v>
      </c>
      <c r="B6" s="9" t="s">
        <v>22</v>
      </c>
      <c r="C6" s="20" t="s">
        <v>443</v>
      </c>
      <c r="D6" s="18" t="s">
        <v>444</v>
      </c>
      <c r="E6" s="9" t="n">
        <v>10813</v>
      </c>
      <c r="F6" s="10" t="s">
        <v>440</v>
      </c>
      <c r="G6" s="9" t="s">
        <v>445</v>
      </c>
    </row>
    <row r="7" customFormat="false" ht="15" hidden="false" customHeight="false" outlineLevel="0" collapsed="false">
      <c r="A7" s="9" t="s">
        <v>446</v>
      </c>
      <c r="B7" s="9" t="s">
        <v>23</v>
      </c>
      <c r="C7" s="20" t="s">
        <v>447</v>
      </c>
      <c r="D7" s="18" t="s">
        <v>448</v>
      </c>
      <c r="E7" s="9" t="n">
        <v>1</v>
      </c>
      <c r="F7" s="10" t="s">
        <v>440</v>
      </c>
      <c r="G7" s="9" t="s">
        <v>449</v>
      </c>
    </row>
    <row r="8" customFormat="false" ht="15" hidden="false" customHeight="false" outlineLevel="0" collapsed="false">
      <c r="A8" s="9" t="s">
        <v>450</v>
      </c>
      <c r="B8" s="9" t="s">
        <v>22</v>
      </c>
      <c r="C8" s="20" t="s">
        <v>451</v>
      </c>
      <c r="D8" s="18" t="s">
        <v>452</v>
      </c>
      <c r="E8" s="9" t="n">
        <v>20</v>
      </c>
      <c r="F8" s="10" t="s">
        <v>440</v>
      </c>
      <c r="G8" s="9" t="s">
        <v>453</v>
      </c>
    </row>
    <row r="10" customFormat="false" ht="15" hidden="false" customHeight="false" outlineLevel="0" collapsed="false">
      <c r="A10" s="2" t="s">
        <v>454</v>
      </c>
    </row>
    <row r="11" customFormat="false" ht="15" hidden="false" customHeight="false" outlineLevel="0" collapsed="false">
      <c r="A11" s="8" t="s">
        <v>455</v>
      </c>
      <c r="B11" s="8" t="s">
        <v>22</v>
      </c>
      <c r="C11" s="8" t="s">
        <v>23</v>
      </c>
      <c r="D11" s="8" t="s">
        <v>63</v>
      </c>
      <c r="E11" s="8"/>
      <c r="F11" s="8"/>
      <c r="G11" s="8"/>
    </row>
    <row r="12" customFormat="false" ht="15" hidden="false" customHeight="false" outlineLevel="0" collapsed="false">
      <c r="A12" s="9" t="s">
        <v>456</v>
      </c>
      <c r="B12" s="20" t="s">
        <v>457</v>
      </c>
      <c r="C12" s="20" t="s">
        <v>457</v>
      </c>
      <c r="D12" s="10" t="s">
        <v>28</v>
      </c>
    </row>
    <row r="13" customFormat="false" ht="15" hidden="false" customHeight="false" outlineLevel="0" collapsed="false">
      <c r="A13" s="9" t="s">
        <v>458</v>
      </c>
      <c r="B13" s="20" t="s">
        <v>459</v>
      </c>
      <c r="C13" s="20" t="s">
        <v>459</v>
      </c>
      <c r="D13" s="10" t="s">
        <v>28</v>
      </c>
    </row>
    <row r="14" customFormat="false" ht="15" hidden="false" customHeight="false" outlineLevel="0" collapsed="false">
      <c r="A14" s="9" t="s">
        <v>460</v>
      </c>
      <c r="B14" s="20" t="s">
        <v>461</v>
      </c>
      <c r="C14" s="20" t="s">
        <v>461</v>
      </c>
      <c r="D14" s="10" t="s">
        <v>28</v>
      </c>
    </row>
    <row r="16" customFormat="false" ht="15" hidden="false" customHeight="false" outlineLevel="0" collapsed="false">
      <c r="A16" s="2" t="s">
        <v>462</v>
      </c>
    </row>
    <row r="17" customFormat="false" ht="15" hidden="false" customHeight="false" outlineLevel="0" collapsed="false">
      <c r="A17" s="8" t="s">
        <v>463</v>
      </c>
      <c r="B17" s="8" t="s">
        <v>22</v>
      </c>
      <c r="C17" s="8" t="s">
        <v>23</v>
      </c>
      <c r="D17" s="8" t="s">
        <v>62</v>
      </c>
      <c r="E17" s="8" t="s">
        <v>63</v>
      </c>
      <c r="F17" s="8"/>
      <c r="G17" s="8"/>
    </row>
    <row r="18" customFormat="false" ht="15" hidden="false" customHeight="false" outlineLevel="0" collapsed="false">
      <c r="A18" s="9" t="s">
        <v>464</v>
      </c>
      <c r="B18" s="9" t="n">
        <v>987</v>
      </c>
      <c r="C18" s="9" t="n">
        <v>987</v>
      </c>
      <c r="D18" s="9" t="n">
        <f aca="false">B18-C18</f>
        <v>0</v>
      </c>
      <c r="E18" s="10" t="str">
        <f aca="false">IF(D18=0,"MATCH","MISMATCH")</f>
        <v>MATCH</v>
      </c>
    </row>
    <row r="19" customFormat="false" ht="15" hidden="false" customHeight="false" outlineLevel="0" collapsed="false">
      <c r="A19" s="9" t="s">
        <v>465</v>
      </c>
      <c r="B19" s="9" t="n">
        <v>1066</v>
      </c>
      <c r="C19" s="9" t="n">
        <v>1066</v>
      </c>
      <c r="D19" s="9" t="n">
        <f aca="false">B19-C19</f>
        <v>0</v>
      </c>
      <c r="E19" s="10" t="str">
        <f aca="false">IF(D19=0,"MATCH","MISMATCH")</f>
        <v>MATCH</v>
      </c>
    </row>
    <row r="20" customFormat="false" ht="15" hidden="false" customHeight="false" outlineLevel="0" collapsed="false">
      <c r="A20" s="9" t="s">
        <v>466</v>
      </c>
      <c r="B20" s="9" t="n">
        <v>-79</v>
      </c>
      <c r="C20" s="9" t="n">
        <v>-79</v>
      </c>
      <c r="D20" s="9" t="n">
        <f aca="false">B20-C20</f>
        <v>0</v>
      </c>
      <c r="E20" s="10" t="str">
        <f aca="false">IF(D20=0,"MATCH","MISMATCH")</f>
        <v>MATCH</v>
      </c>
    </row>
    <row r="21" customFormat="false" ht="15" hidden="false" customHeight="false" outlineLevel="0" collapsed="false">
      <c r="A21" s="9" t="s">
        <v>467</v>
      </c>
      <c r="B21" s="9" t="n">
        <v>188</v>
      </c>
      <c r="C21" s="9" t="n">
        <v>188</v>
      </c>
      <c r="D21" s="9" t="n">
        <f aca="false">B21-C21</f>
        <v>0</v>
      </c>
      <c r="E21" s="10" t="str">
        <f aca="false">IF(D21=0,"MATCH","MISMATCH")</f>
        <v>MATCH</v>
      </c>
    </row>
    <row r="22" customFormat="false" ht="15" hidden="false" customHeight="false" outlineLevel="0" collapsed="false">
      <c r="A22" s="9" t="s">
        <v>468</v>
      </c>
      <c r="B22" s="9" t="n">
        <v>17</v>
      </c>
      <c r="C22" s="9" t="n">
        <v>17</v>
      </c>
      <c r="D22" s="9" t="n">
        <f aca="false">B22-C22</f>
        <v>0</v>
      </c>
      <c r="E22" s="10" t="str">
        <f aca="false">IF(D22=0,"MATCH","MISMATCH")</f>
        <v>MATCH</v>
      </c>
    </row>
    <row r="24" customFormat="false" ht="15" hidden="false" customHeight="false" outlineLevel="0" collapsed="false">
      <c r="A24" s="15" t="s">
        <v>469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2026-08-26T17:16:30Z</dcterms:created>
  <dc:creator>openpyxl</dc:creator>
  <dc:description/>
  <dc:language>en-US</dc:language>
  <cp:lastModifiedBy/>
  <dcterms:modified xsi:type="dcterms:W3CDTF">2026-08-26T17:16:30Z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